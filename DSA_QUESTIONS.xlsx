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SWRAJ KANT SHARMA\Desktop\Practice_Tracker\"/>
    </mc:Choice>
  </mc:AlternateContent>
  <xr:revisionPtr revIDLastSave="0" documentId="13_ncr:1_{22AF70F2-AE5C-4A51-8BE2-5B6B43072C8D}" xr6:coauthVersionLast="47" xr6:coauthVersionMax="47" xr10:uidLastSave="{00000000-0000-0000-0000-000000000000}"/>
  <bookViews>
    <workbookView xWindow="60" yWindow="1032" windowWidth="17280" windowHeight="8964" xr2:uid="{261C335C-1D91-C143-AEEF-19B82073468C}"/>
  </bookViews>
  <sheets>
    <sheet name="DSA" sheetId="1" r:id="rId1"/>
    <sheet name="Fraz Sheet" sheetId="4" r:id="rId2"/>
    <sheet name="Siddharth Sheet" sheetId="5" r:id="rId3"/>
    <sheet name="CN" sheetId="2" r:id="rId4"/>
    <sheet name="Dp and Graph"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23" i="5" l="1"/>
  <c r="A24" i="5"/>
  <c r="A25" i="5"/>
  <c r="A27" i="5"/>
  <c r="A29" i="5"/>
  <c r="A30" i="5"/>
  <c r="A32" i="5"/>
  <c r="A33" i="5"/>
  <c r="A35" i="5"/>
  <c r="A36" i="5"/>
  <c r="A37" i="5"/>
  <c r="A40" i="5"/>
  <c r="A46" i="5"/>
  <c r="A49" i="5"/>
  <c r="A50" i="5"/>
  <c r="A52" i="5"/>
  <c r="A56" i="5"/>
  <c r="A57" i="5"/>
  <c r="A58" i="5"/>
  <c r="A59" i="5"/>
  <c r="A61" i="5"/>
  <c r="A62" i="5"/>
  <c r="A63" i="5"/>
  <c r="A64" i="5"/>
  <c r="A67" i="5"/>
  <c r="A68" i="5"/>
  <c r="A70" i="5"/>
  <c r="A71" i="5"/>
  <c r="A76" i="5"/>
  <c r="A80" i="5"/>
  <c r="A86" i="5"/>
  <c r="A106" i="5"/>
  <c r="A107" i="5"/>
  <c r="A108" i="5"/>
  <c r="A109" i="5"/>
  <c r="A111" i="5"/>
  <c r="A114" i="5"/>
  <c r="A115" i="5"/>
  <c r="A119" i="5"/>
  <c r="A120" i="5"/>
  <c r="A121" i="5"/>
  <c r="A124" i="5"/>
  <c r="A126" i="5"/>
  <c r="A127" i="5"/>
  <c r="A128" i="5"/>
  <c r="A132" i="5"/>
  <c r="A146" i="5"/>
  <c r="A147" i="5"/>
  <c r="A148" i="5"/>
  <c r="A149" i="5"/>
  <c r="A150" i="5"/>
  <c r="A151" i="5"/>
  <c r="A152" i="5"/>
  <c r="A153" i="5"/>
  <c r="A155" i="5"/>
  <c r="A156" i="5"/>
  <c r="A157" i="5"/>
  <c r="A158" i="5"/>
  <c r="A159" i="5"/>
  <c r="A160" i="5"/>
  <c r="A162" i="5"/>
  <c r="A163" i="5"/>
  <c r="A164" i="5"/>
  <c r="A165" i="5"/>
  <c r="A169" i="5"/>
  <c r="A170" i="5"/>
  <c r="A172" i="5"/>
  <c r="A173" i="5"/>
  <c r="A174" i="5"/>
  <c r="A176" i="5"/>
  <c r="A177" i="5"/>
  <c r="A182" i="5"/>
  <c r="A183" i="5"/>
  <c r="A184" i="5"/>
  <c r="A185" i="5"/>
  <c r="A186" i="5"/>
  <c r="A190" i="5"/>
  <c r="A191" i="5"/>
  <c r="A192" i="5"/>
  <c r="A193" i="5"/>
  <c r="A195" i="5"/>
  <c r="A196" i="5"/>
  <c r="A200" i="5"/>
  <c r="A203" i="5"/>
  <c r="A204" i="5"/>
  <c r="A206" i="5"/>
  <c r="A207" i="5"/>
  <c r="A210" i="5"/>
  <c r="A211" i="5"/>
  <c r="A213" i="5"/>
  <c r="A214" i="5"/>
  <c r="A215" i="5"/>
  <c r="A217" i="5"/>
  <c r="A218" i="5"/>
  <c r="A220" i="5"/>
  <c r="A225" i="5"/>
  <c r="A238" i="5"/>
  <c r="A239" i="5"/>
  <c r="A240" i="5"/>
  <c r="A242" i="5"/>
  <c r="A244" i="5"/>
  <c r="A246" i="5"/>
  <c r="A247" i="5"/>
  <c r="A251" i="5"/>
  <c r="A256" i="5"/>
  <c r="A259" i="5"/>
  <c r="A263" i="5"/>
  <c r="A264" i="5"/>
  <c r="A265" i="5"/>
  <c r="A266" i="5"/>
  <c r="A278" i="5"/>
  <c r="A282" i="5"/>
  <c r="A285" i="5"/>
  <c r="A290" i="5"/>
  <c r="A310" i="5"/>
  <c r="A311" i="5"/>
  <c r="A313" i="5"/>
  <c r="A314" i="5"/>
  <c r="A315" i="5"/>
  <c r="A316" i="5"/>
  <c r="A319" i="5"/>
  <c r="A321" i="5"/>
  <c r="A322" i="5"/>
  <c r="A325" i="5"/>
  <c r="A326" i="5"/>
  <c r="A327" i="5"/>
  <c r="A329" i="5"/>
  <c r="A330" i="5"/>
  <c r="A332" i="5"/>
  <c r="A333" i="5"/>
  <c r="A334" i="5"/>
  <c r="A335" i="5"/>
  <c r="A336" i="5"/>
  <c r="A339" i="5"/>
  <c r="A341" i="5"/>
  <c r="A342" i="5"/>
  <c r="A343" i="5"/>
  <c r="A344" i="5"/>
  <c r="A345" i="5"/>
  <c r="A346" i="5"/>
  <c r="A349" i="5"/>
  <c r="A350" i="5"/>
  <c r="A351" i="5"/>
  <c r="A352" i="5"/>
  <c r="A353" i="5"/>
  <c r="A354" i="5"/>
  <c r="A355" i="5"/>
  <c r="A357" i="5"/>
  <c r="A360" i="5"/>
  <c r="A363" i="5"/>
  <c r="A364" i="5"/>
  <c r="A365" i="5"/>
  <c r="A438" i="5"/>
  <c r="A455" i="5"/>
  <c r="A456" i="5"/>
  <c r="A458" i="5"/>
  <c r="A459" i="5"/>
  <c r="A460" i="5"/>
  <c r="A463" i="5"/>
  <c r="A467" i="5"/>
  <c r="A473" i="5"/>
  <c r="A474" i="5"/>
  <c r="A476" i="5"/>
  <c r="A484" i="5"/>
  <c r="A499" i="5"/>
  <c r="A510" i="5"/>
  <c r="A513" i="5"/>
  <c r="A514" i="5"/>
  <c r="A515" i="5"/>
  <c r="A518" i="5"/>
</calcChain>
</file>

<file path=xl/sharedStrings.xml><?xml version="1.0" encoding="utf-8"?>
<sst xmlns="http://schemas.openxmlformats.org/spreadsheetml/2006/main" count="1609" uniqueCount="1459">
  <si>
    <t xml:space="preserve">Problem: </t>
  </si>
  <si>
    <t>Reverse the array</t>
  </si>
  <si>
    <t>Find the maximum and minimum element in an array</t>
  </si>
  <si>
    <t xml:space="preserve">Find the "Kth" max and min element of an array </t>
  </si>
  <si>
    <t>Given an array which consists of only 0, 1 and 2. Sort the array without using any sorting algo</t>
  </si>
  <si>
    <t xml:space="preserve">Move all the negative elements to one side of the array </t>
  </si>
  <si>
    <t>Find the Union and Intersection of the two sorted arrays.</t>
  </si>
  <si>
    <t>Write a program to cyclically rotate an array by one.</t>
  </si>
  <si>
    <t>find Largest sum contiguous Subarray [V. IMP]</t>
  </si>
  <si>
    <t>Minimise the maximum difference between heights [V.IMP]</t>
  </si>
  <si>
    <t>Minimum no. of Jumps to reach end of an array</t>
  </si>
  <si>
    <t>find duplicate in an array of N+1 Integers</t>
  </si>
  <si>
    <t>Merge 2 sorted arrays without using Extra space.</t>
  </si>
  <si>
    <t>Kadane's Algo [V.V.V.V.V IMP]</t>
  </si>
  <si>
    <t>Merge Intervals</t>
  </si>
  <si>
    <t>Next Permutation</t>
  </si>
  <si>
    <t>Count Inversion</t>
  </si>
  <si>
    <t>Best time to buy and Sell stock</t>
  </si>
  <si>
    <t>find all pairs on integer array whose sum is equal to given number</t>
  </si>
  <si>
    <t>find common elements In 3 sorted arrays</t>
  </si>
  <si>
    <t>Rearrange the array in alternating positive and negative items with O(1) extra space</t>
  </si>
  <si>
    <t>Find if there is any subarray with sum equal to 0</t>
  </si>
  <si>
    <t>Find factorial of a large number</t>
  </si>
  <si>
    <t xml:space="preserve">find maximum product subarray </t>
  </si>
  <si>
    <t>Find longest coinsecutive subsequence</t>
  </si>
  <si>
    <t>Given an array of size n and a number k, fin all elements that appear more than " n/k " times.</t>
  </si>
  <si>
    <t>Maximum profit by buying and selling a share atmost twice</t>
  </si>
  <si>
    <t>Find whether an array is a subset of another array</t>
  </si>
  <si>
    <t>Find the triplet that sum to a given value</t>
  </si>
  <si>
    <t>Trapping Rain water problem</t>
  </si>
  <si>
    <t>Chocolate Distribution problem</t>
  </si>
  <si>
    <t>Smallest Subarray with sum greater than a given value</t>
  </si>
  <si>
    <t>Three way partitioning of an array around a given value</t>
  </si>
  <si>
    <t>Minimum swaps required bring elements less equal K together</t>
  </si>
  <si>
    <t>Minimum no. of operations required to make an array palindrome</t>
  </si>
  <si>
    <t>Median of 2 sorted arrays of equal size</t>
  </si>
  <si>
    <t>Median of 2 sorted arrays of different size</t>
  </si>
  <si>
    <t>Spiral traversal on a Matrix</t>
  </si>
  <si>
    <t>Search an element in a matriix</t>
  </si>
  <si>
    <t>Find median in a row wise sorted matrix</t>
  </si>
  <si>
    <t>Find row with maximum no. of 1's</t>
  </si>
  <si>
    <t>Print elements in sorted order using row-column wise sorted matrix</t>
  </si>
  <si>
    <t>Maximum size rectangle</t>
  </si>
  <si>
    <t>Find a specific pair in matrix</t>
  </si>
  <si>
    <t>Rotate matrix by 90 degrees</t>
  </si>
  <si>
    <t>Kth smallest element in a row-cpumn wise sorted matrix</t>
  </si>
  <si>
    <t>Common elements in all rows of a given matrix</t>
  </si>
  <si>
    <t>Reverse a String</t>
  </si>
  <si>
    <t>Check whether a String is Palindrome or not</t>
  </si>
  <si>
    <t>Find Duplicate characters in a string</t>
  </si>
  <si>
    <t>Why strings are immutable in Java?</t>
  </si>
  <si>
    <t>Write a Code to check whether one string is a rotation of another</t>
  </si>
  <si>
    <t>Write a Program to check whether a string is a valid shuffle of two strings or not</t>
  </si>
  <si>
    <t>Count and Say problem</t>
  </si>
  <si>
    <t>Write a program to find the longest Palindrome in a string.[ Longest palindromic Substring]</t>
  </si>
  <si>
    <t>Find Longest Recurring Subsequence in String</t>
  </si>
  <si>
    <t>Print all Subsequences of a string.</t>
  </si>
  <si>
    <t>Print all the permutations of the given string</t>
  </si>
  <si>
    <t>Split the Binary string into two substring with equal 0’s and 1’s</t>
  </si>
  <si>
    <t>Word Wrap Problem [VERY IMP].</t>
  </si>
  <si>
    <t>EDIT Distance [Very Imp]</t>
  </si>
  <si>
    <t>Find next greater number with same set of digits. [Very Very IMP]</t>
  </si>
  <si>
    <t>Balanced Parenthesis problem.[Imp]</t>
  </si>
  <si>
    <t>Word break Problem[ Very Imp]</t>
  </si>
  <si>
    <t>Rabin Karp Algo</t>
  </si>
  <si>
    <t>KMP Algo</t>
  </si>
  <si>
    <t>Convert a Sentence into its equivalent mobile numeric keypad sequence.</t>
  </si>
  <si>
    <t>Minimum number of bracket reversals needed to make an expression balanced.</t>
  </si>
  <si>
    <t>Count All Palindromic Subsequence in a given String.</t>
  </si>
  <si>
    <t>Count of number of given string in 2D character array</t>
  </si>
  <si>
    <t>Search a Word in a 2D Grid of characters.</t>
  </si>
  <si>
    <t>Boyer Moore Algorithm for Pattern Searching.</t>
  </si>
  <si>
    <t>Converting Roman Numerals to Decimal</t>
  </si>
  <si>
    <t>Longest Common Prefix</t>
  </si>
  <si>
    <t>Number of flips to make binary string alternate</t>
  </si>
  <si>
    <t>Find the first repeated word in string.</t>
  </si>
  <si>
    <t>Minimum number of swaps for bracket balancing.</t>
  </si>
  <si>
    <t>Find the longest common subsequence between two strings.</t>
  </si>
  <si>
    <t>Program to generate all possible valid IP addresses from given  string.</t>
  </si>
  <si>
    <t>Write a program tofind the smallest window that contains all characters of string itself.</t>
  </si>
  <si>
    <t>Rearrange characters in a string such that no two adjacent are same</t>
  </si>
  <si>
    <t>Minimum characters to be added at front to make string palindrome</t>
  </si>
  <si>
    <t>Given a sequence of words, print all anagrams together</t>
  </si>
  <si>
    <t>Find the smallest window in a string containing all characters of another string</t>
  </si>
  <si>
    <t>Recursively remove all adjacent duplicates</t>
  </si>
  <si>
    <t>String matching where one string contains wildcard characters</t>
  </si>
  <si>
    <t>Function to find Number of customers who could not get a computer</t>
  </si>
  <si>
    <t>Transform One String to Another using Minimum Number of Given Operation</t>
  </si>
  <si>
    <t>Check if two given strings are isomorphic to each other</t>
  </si>
  <si>
    <t>Recursively print all sentences that can be formed from list of word lists</t>
  </si>
  <si>
    <t>Find first and last positions of an element in a sorted array</t>
  </si>
  <si>
    <t>Find a Fixed Point (Value equal to index) in a given array</t>
  </si>
  <si>
    <t>Search in a rotated sorted array</t>
  </si>
  <si>
    <t>square root of an integer</t>
  </si>
  <si>
    <t>Maximum and minimum of an array using minimum number of comparisons</t>
  </si>
  <si>
    <t>Optimum location of point to minimize total distance</t>
  </si>
  <si>
    <t>Find the repeating and the missing</t>
  </si>
  <si>
    <t>find majority element</t>
  </si>
  <si>
    <t>Searching in an array where adjacent differ by at most k</t>
  </si>
  <si>
    <t>find a pair with a given difference</t>
  </si>
  <si>
    <t>find four elements that sum to a given value</t>
  </si>
  <si>
    <t>maximum sum such that no 2 elements are adjacent</t>
  </si>
  <si>
    <t>Count triplet with sum smaller than a given value</t>
  </si>
  <si>
    <t>merge 2 sorted arrays</t>
  </si>
  <si>
    <t>print all subarrays with 0 sum</t>
  </si>
  <si>
    <t>Product array Puzzle</t>
  </si>
  <si>
    <t>Sort array according to count of set bits</t>
  </si>
  <si>
    <t>minimum no. of swaps required to sort the array</t>
  </si>
  <si>
    <t>Bishu and Soldiers</t>
  </si>
  <si>
    <t>Rasta and Kheshtak</t>
  </si>
  <si>
    <t>Kth smallest number again</t>
  </si>
  <si>
    <t>Find pivot element in a sorted array</t>
  </si>
  <si>
    <t>K-th Element of Two Sorted Arrays</t>
  </si>
  <si>
    <t>Aggressive cows</t>
  </si>
  <si>
    <t>Book Allocation Problem</t>
  </si>
  <si>
    <t>EKOSPOJ:</t>
  </si>
  <si>
    <t>Job Scheduling Algo</t>
  </si>
  <si>
    <t>Missing Number in AP</t>
  </si>
  <si>
    <t>Smallest number with atleastn trailing zeroes infactorial</t>
  </si>
  <si>
    <t>Painters Partition Problem:</t>
  </si>
  <si>
    <t>ROTI-Prata SPOJ</t>
  </si>
  <si>
    <t>DoubleHelix SPOJ</t>
  </si>
  <si>
    <t>Subset Sums</t>
  </si>
  <si>
    <t>Findthe inversion count</t>
  </si>
  <si>
    <t>Implement Merge-sort in-place</t>
  </si>
  <si>
    <t>Partitioning and Sorting Arrays with Many Repeated Entries</t>
  </si>
  <si>
    <t>Write a Program to reverse the Linked List. (Both Iterative and recursive)</t>
  </si>
  <si>
    <t>Write a program to Detect loop in a linked list.</t>
  </si>
  <si>
    <t>Write a program to Delete loop in a linked list.</t>
  </si>
  <si>
    <t>Find the starting point of the loop. </t>
  </si>
  <si>
    <t>Remove Duplicates in a sorted Linked List.</t>
  </si>
  <si>
    <t>Remove Duplicates in a Un-sorted Linked List.</t>
  </si>
  <si>
    <t>Write a Program to Move the last element to Front in a Linked List.</t>
  </si>
  <si>
    <t>Add “1” to a number represented as a Linked List.</t>
  </si>
  <si>
    <t>Add two numbers represented by linked lists.</t>
  </si>
  <si>
    <t>Intersection of two Sorted Linked List.</t>
  </si>
  <si>
    <t>Intersection Point of two Linked Lists.</t>
  </si>
  <si>
    <t>Merge Sort For Linked lists.[Very Important]</t>
  </si>
  <si>
    <t>Quicksort for Linked Lists.[Very Important]</t>
  </si>
  <si>
    <t>Find the middle Element of a linked list.</t>
  </si>
  <si>
    <t>Split a Circular linked list into two halves.</t>
  </si>
  <si>
    <t>Write a Program to check whether the Singly Linked list is a palindrome or not.</t>
  </si>
  <si>
    <t>Deletion from a Circular Linked List.</t>
  </si>
  <si>
    <t>Reverse a Doubly Linked list.</t>
  </si>
  <si>
    <t>Find pairs with a given sum in a DLL.</t>
  </si>
  <si>
    <t>Count triplets in a sorted DLL whose sum is equal to given value “X”.</t>
  </si>
  <si>
    <t>Sort a “k”sorted Doubly Linked list.[Very IMP]</t>
  </si>
  <si>
    <t>Rotate DoublyLinked list by N nodes.</t>
  </si>
  <si>
    <t>Rotate a Doubly Linked list in group of Given Size.[Very IMP]</t>
  </si>
  <si>
    <t>Can we reverse a linked list in less than O(n) ?</t>
  </si>
  <si>
    <t>Why Quicksort is preferred for. Arrays and Merge Sort for LinkedLists ?</t>
  </si>
  <si>
    <t>Flatten a Linked List</t>
  </si>
  <si>
    <t>Sort a LL of 0's, 1's and 2's</t>
  </si>
  <si>
    <t>Clone a linked list with next and random pointer</t>
  </si>
  <si>
    <t>Merge K sorted Linked list</t>
  </si>
  <si>
    <t>Multiply 2 no. represented by LL</t>
  </si>
  <si>
    <t>Delete nodes which have a greater value on right side</t>
  </si>
  <si>
    <t>Segregate even and odd nodes in a Linked List</t>
  </si>
  <si>
    <t>Program for n’th node from the end of a Linked List</t>
  </si>
  <si>
    <t>Find the first non-repeating character from a stream of characters</t>
  </si>
  <si>
    <t>level order traversal</t>
  </si>
  <si>
    <t>Reverse Level Order traversal</t>
  </si>
  <si>
    <t>Height of a tree</t>
  </si>
  <si>
    <t>Diameter of a tree</t>
  </si>
  <si>
    <t>Mirror of a tree</t>
  </si>
  <si>
    <t>Preorder Traversal of a tree both using recursion and Iteration</t>
  </si>
  <si>
    <t>Postorder Traversal of a tree both using recursion and Iteration</t>
  </si>
  <si>
    <t>Left View of a tree</t>
  </si>
  <si>
    <t>Right View of Tree</t>
  </si>
  <si>
    <t>Top View of a tree</t>
  </si>
  <si>
    <t>Bottom View of a tree</t>
  </si>
  <si>
    <t>Zig-Zag traversal of a binary tree</t>
  </si>
  <si>
    <t>Check if a tree is balanced or not</t>
  </si>
  <si>
    <t>Diagnol Traversal of a Binary tree</t>
  </si>
  <si>
    <t>Boundary traversal of a Binary tree</t>
  </si>
  <si>
    <t>Construct Binary Tree from String with Bracket Representation</t>
  </si>
  <si>
    <t>Convert Binary tree into Doubly Linked List</t>
  </si>
  <si>
    <t>Convert Binary tree into Sum tree</t>
  </si>
  <si>
    <t>Construct Binary tree from Inorder and preorder traversal</t>
  </si>
  <si>
    <t>Find minimum swaps required to convert a Binary tree into BST</t>
  </si>
  <si>
    <t>Check if Binary tree is Sum tree or not</t>
  </si>
  <si>
    <t>Check if all leaf nodes are at same level or not</t>
  </si>
  <si>
    <t>Check if a Binary Tree contains duplicate subtrees of size 2 or more [ IMP ]</t>
  </si>
  <si>
    <t>Check if 2 trees are mirror or not</t>
  </si>
  <si>
    <t xml:space="preserve">Sum of Nodes on the Longest path from root to leaf node </t>
  </si>
  <si>
    <t>Check if given graph is tree or not.  [ IMP ]</t>
  </si>
  <si>
    <t>Find Largest subtree sum in a tree</t>
  </si>
  <si>
    <t xml:space="preserve">Maximum Sum of nodes in Binary tree such that no two are adjacent </t>
  </si>
  <si>
    <t>Print all "K" Sum paths in a Binary tree</t>
  </si>
  <si>
    <t>Find LCA in a Binary tree</t>
  </si>
  <si>
    <t>Find distance between 2 nodes in a Binary tree</t>
  </si>
  <si>
    <t>Kth Ancestor of node in a Binary tree</t>
  </si>
  <si>
    <t>Find all Duplicate subtrees in a Binary tree [ IMP ]</t>
  </si>
  <si>
    <t>Tree Isomorphism Problem</t>
  </si>
  <si>
    <t>Fina a value in a BST</t>
  </si>
  <si>
    <t>Deletion of a node in a BST</t>
  </si>
  <si>
    <t>Find min and max value in a BST</t>
  </si>
  <si>
    <t>Find inorder successor and inorder predecessor in a BST</t>
  </si>
  <si>
    <t xml:space="preserve">Check if a tree is a BST or not </t>
  </si>
  <si>
    <t>Populate Inorder successor of all nodes</t>
  </si>
  <si>
    <t>Find LCA  of 2 nodes in a BST</t>
  </si>
  <si>
    <t>Construct BST from preorder traversal</t>
  </si>
  <si>
    <t>Convert Binary tree into BST</t>
  </si>
  <si>
    <t>Convert a normal BST into a Balanced BST</t>
  </si>
  <si>
    <t>Merge two BST [ V.V.V&gt;IMP ]</t>
  </si>
  <si>
    <t>Find Kth largest element in a BST</t>
  </si>
  <si>
    <t>Find Kth smallest element in a BST</t>
  </si>
  <si>
    <t>Count pairs from 2 BST whose sum is equal to given value "X"</t>
  </si>
  <si>
    <t>Find the median of BST in O(n) time and O(1) space</t>
  </si>
  <si>
    <t>Count BST ndoes that lie in a given range</t>
  </si>
  <si>
    <t>Replace every element with the least greater element on its right</t>
  </si>
  <si>
    <t>Given "n" appointments, find the conflicting appointments</t>
  </si>
  <si>
    <t>Check preorder is valid or not</t>
  </si>
  <si>
    <t>Check whether BST contains Dead end</t>
  </si>
  <si>
    <t>Largest BST in a Binary Tree [ V.V.V.V.V IMP ]</t>
  </si>
  <si>
    <t>Flatten BST to sorted list</t>
  </si>
  <si>
    <t>Activity Selection Problem</t>
  </si>
  <si>
    <t>Job SequencingProblem</t>
  </si>
  <si>
    <t>Huffman Coding</t>
  </si>
  <si>
    <t>Water Connection Problem</t>
  </si>
  <si>
    <t>Fractional Knapsack Problem</t>
  </si>
  <si>
    <t>Greedy Algorithm to find Minimum number of Coins</t>
  </si>
  <si>
    <t>Maximum trains for which stoppage can be provided</t>
  </si>
  <si>
    <t>Minimum Platforms Problem</t>
  </si>
  <si>
    <t>Buy Maximum Stocks if i stocks can be bought on i-th day</t>
  </si>
  <si>
    <t>Find the minimum and maximum amount to buy all N candies</t>
  </si>
  <si>
    <t>Minimize Cash Flow among a given set of friends who have borrowed money from each other</t>
  </si>
  <si>
    <t>Minimum Cost to cut a board into squares</t>
  </si>
  <si>
    <t>Check if it is possible to survive on Island</t>
  </si>
  <si>
    <t>Find maximum meetings in one room</t>
  </si>
  <si>
    <t>Maximum product subset of an array</t>
  </si>
  <si>
    <t>Maximize array sum after K negations</t>
  </si>
  <si>
    <t>Maximize the sum of arr[i]*i</t>
  </si>
  <si>
    <t>Maximum sum of absolute difference of an array</t>
  </si>
  <si>
    <t>Maximize sum of consecutive differences in a circular array</t>
  </si>
  <si>
    <t>Minimum sum of absolute difference of pairs of two arrays</t>
  </si>
  <si>
    <t>Program for Shortest Job First (or SJF) CPU Scheduling</t>
  </si>
  <si>
    <t>Program for Least Recently Used (LRU) Page Replacement algorithm</t>
  </si>
  <si>
    <t>Smallest subset with sum greater than all other elements</t>
  </si>
  <si>
    <t>Chocolate Distribution Problem</t>
  </si>
  <si>
    <t>DEFKIN -Defense of a Kingdom</t>
  </si>
  <si>
    <t>DIEHARD -DIE HARD</t>
  </si>
  <si>
    <t>GERGOVIA -Wine trading in Gergovia</t>
  </si>
  <si>
    <t>Picking Up Chicks</t>
  </si>
  <si>
    <t>CHOCOLA –Chocolate</t>
  </si>
  <si>
    <t>ARRANGE -Arranging Amplifiers</t>
  </si>
  <si>
    <t>K Centers Problem</t>
  </si>
  <si>
    <t>Minimum Cost of ropes</t>
  </si>
  <si>
    <t>Find smallest number with given number of digits and sum of digits</t>
  </si>
  <si>
    <t>Find maximum sum possible equal sum of three stacks</t>
  </si>
  <si>
    <t>Rat in a maze Problem</t>
  </si>
  <si>
    <t>Printing all solutions in N-Queen Problem</t>
  </si>
  <si>
    <t>Word Break Problem using Backtracking</t>
  </si>
  <si>
    <t>Remove Invalid Parentheses</t>
  </si>
  <si>
    <t>Sudoku Solver</t>
  </si>
  <si>
    <t>m Coloring Problem</t>
  </si>
  <si>
    <t>The Knight’s tour problem</t>
  </si>
  <si>
    <t>Tug of War</t>
  </si>
  <si>
    <t>Find shortest safe route in a path with landmines</t>
  </si>
  <si>
    <t>Find Maximum number possible by doing at-most K swaps</t>
  </si>
  <si>
    <t>Find if there is a path of more than k length from a source</t>
  </si>
  <si>
    <t>Longest Possible Route in a Matrix with Hurdles</t>
  </si>
  <si>
    <t>Print all possible paths from top left to bottom right of a mXn matrix</t>
  </si>
  <si>
    <t>Partition of a set intoK subsets with equal sum</t>
  </si>
  <si>
    <t>Find the K-th Permutation Sequence of first N natural numbers</t>
  </si>
  <si>
    <t xml:space="preserve"> Implement Stack from Scratch</t>
  </si>
  <si>
    <t xml:space="preserve"> Implement Queue from Scratch</t>
  </si>
  <si>
    <t>Implement 2 stack in an array</t>
  </si>
  <si>
    <t>find the middle element of a stack</t>
  </si>
  <si>
    <t>Implement "N" stacks in an Array</t>
  </si>
  <si>
    <t>Check the expression has valid or Balanced parenthesis or not.</t>
  </si>
  <si>
    <t>Reverse a String using Stack</t>
  </si>
  <si>
    <t>Design a Stack that supports getMin() in O(1) time and O(1) extra space.</t>
  </si>
  <si>
    <t>Find the next Greater element</t>
  </si>
  <si>
    <t>The celebrity Problem</t>
  </si>
  <si>
    <t>Arithmetic Expression evaluation</t>
  </si>
  <si>
    <t>Evaluation of Postfix expression</t>
  </si>
  <si>
    <t>Implement a method to insert an element at its bottom without using any other data structure.</t>
  </si>
  <si>
    <t>Reverse a stack using recursion</t>
  </si>
  <si>
    <t>Sort a Stack using recursion</t>
  </si>
  <si>
    <t>Merge Overlapping Intervals</t>
  </si>
  <si>
    <t>Largest rectangular Area in Histogram</t>
  </si>
  <si>
    <t>Length of the Longest Valid Substring</t>
  </si>
  <si>
    <t>Expression contains redundant bracket or not</t>
  </si>
  <si>
    <t>Implement Stack using Queue</t>
  </si>
  <si>
    <t>Implement Stack using Deque</t>
  </si>
  <si>
    <t>Stack Permutations (Check if an array is stack permutation of other)</t>
  </si>
  <si>
    <t xml:space="preserve">Implement Queue using Stack  </t>
  </si>
  <si>
    <t>Implement "n" queue in an array</t>
  </si>
  <si>
    <t>Implement a Circular queue</t>
  </si>
  <si>
    <t>LRU Cache Implementationa</t>
  </si>
  <si>
    <t>Reverse a Queue using recursion</t>
  </si>
  <si>
    <t>Reverse the first “K” elements of a queue</t>
  </si>
  <si>
    <t>Interleave the first half of the queue with second half</t>
  </si>
  <si>
    <t>Find the first circular tour that visits all Petrol Pumps</t>
  </si>
  <si>
    <t>Minimum time required to rot all oranges</t>
  </si>
  <si>
    <t>Distance of nearest cell having 1 in a binary matrix</t>
  </si>
  <si>
    <t>First negative integer in every window of size “k”</t>
  </si>
  <si>
    <t>Check if all levels of two trees are anagrams or not.</t>
  </si>
  <si>
    <t>Sum of minimum and maximum elements of all subarrays of size “k”.</t>
  </si>
  <si>
    <t>Minimum sum of squares of character counts in a given string after removing “k” characters.</t>
  </si>
  <si>
    <t>Queue based approach or first non-repeating character in a stream.</t>
  </si>
  <si>
    <t>Next Smaller Element</t>
  </si>
  <si>
    <t>Implement a Maxheap/MinHeap using arrays and recursion.</t>
  </si>
  <si>
    <t>Sort an Array using heap. (HeapSort)</t>
  </si>
  <si>
    <t>Maximum of all subarrays of size k.</t>
  </si>
  <si>
    <t>Kth smallest and largest element in an unsorted array</t>
  </si>
  <si>
    <t>Merge “K” sorted arrays. [ IMP ]</t>
  </si>
  <si>
    <t>Merge 2 Binary Max Heaps</t>
  </si>
  <si>
    <t>Kth largest sum continuous subarrays</t>
  </si>
  <si>
    <t>Leetcode- reorganize strings</t>
  </si>
  <si>
    <t>Merge “K” Sorted Linked Lists [V.IMP]</t>
  </si>
  <si>
    <t>Smallest range in “K” Lists</t>
  </si>
  <si>
    <t>Median in a stream of Integers</t>
  </si>
  <si>
    <t>Check if a Binary Tree is Heap</t>
  </si>
  <si>
    <t>Connect “n” ropes with minimum cost</t>
  </si>
  <si>
    <t>Convert BST to Min Heap</t>
  </si>
  <si>
    <t>Convert min heap to max heap</t>
  </si>
  <si>
    <t>Rearrange characters in a string such that no two adjacent are same.</t>
  </si>
  <si>
    <t>Minimum sum of two numbers formed from digits of an array</t>
  </si>
  <si>
    <t>Create a Graph, print it</t>
  </si>
  <si>
    <t xml:space="preserve">Implement BFS algorithm </t>
  </si>
  <si>
    <t xml:space="preserve">Implement DFS Algo </t>
  </si>
  <si>
    <t xml:space="preserve">Detect Cycle in Directed Graph using BFS/DFS Algo </t>
  </si>
  <si>
    <t xml:space="preserve">Detect Cycle in UnDirected Graph using BFS/DFS Algo </t>
  </si>
  <si>
    <t>Search in a Maze</t>
  </si>
  <si>
    <t>Minimum Step by Knight</t>
  </si>
  <si>
    <t>flood fill algo</t>
  </si>
  <si>
    <t>Clone a graph</t>
  </si>
  <si>
    <t>Making wired Connections</t>
  </si>
  <si>
    <t xml:space="preserve">word Ladder </t>
  </si>
  <si>
    <t>Dijkstra algo</t>
  </si>
  <si>
    <t xml:space="preserve">Implement Topological Sort </t>
  </si>
  <si>
    <t>Minimum time taken by each job to be completed given by a Directed Acyclic Graph</t>
  </si>
  <si>
    <t>Find whether it is possible to finish all tasks or not from given dependencies</t>
  </si>
  <si>
    <t>Find the no. of Isalnds</t>
  </si>
  <si>
    <t>Given a sorted Dictionary of an Alien Language, find order of characters</t>
  </si>
  <si>
    <t>Implement Kruksal’sAlgorithm</t>
  </si>
  <si>
    <t>Implement Prim’s Algorithm</t>
  </si>
  <si>
    <t>Total no. of Spanning tree in a graph</t>
  </si>
  <si>
    <t>Implement Bellman Ford Algorithm</t>
  </si>
  <si>
    <t>Implement Floyd warshallAlgorithm</t>
  </si>
  <si>
    <t>Travelling Salesman Problem</t>
  </si>
  <si>
    <t>Graph ColouringProblem</t>
  </si>
  <si>
    <t>Snake and Ladders Problem</t>
  </si>
  <si>
    <t>Find bridge in a graph</t>
  </si>
  <si>
    <t>Count Strongly connected Components(Kosaraju Algo)</t>
  </si>
  <si>
    <t>Check whether a graph is Bipartite or Not</t>
  </si>
  <si>
    <t>Detect Negative cycle in a graph</t>
  </si>
  <si>
    <t>Longest path in a Directed Acyclic Graph</t>
  </si>
  <si>
    <t>Journey to the Moon</t>
  </si>
  <si>
    <t>Cheapest Flights Within K Stops</t>
  </si>
  <si>
    <t>Oliver and the Game</t>
  </si>
  <si>
    <t>Water Jug problem using BFS</t>
  </si>
  <si>
    <t>Find if there is a path of more thank length from a source</t>
  </si>
  <si>
    <t>M-ColouringProblem</t>
  </si>
  <si>
    <t>Minimum edges to reverse o make path from source to destination</t>
  </si>
  <si>
    <t>Paths to travel each nodes using each edge(Seven Bridges)</t>
  </si>
  <si>
    <t>Vertex Cover Problem</t>
  </si>
  <si>
    <t>Chinese Postman or Route Inspection</t>
  </si>
  <si>
    <t>Number of Triangles in a Directed and Undirected Graph</t>
  </si>
  <si>
    <t>Minimise the cashflow among a given set of friends who have borrowed money from each other</t>
  </si>
  <si>
    <t>Two Clique Problem</t>
  </si>
  <si>
    <t>Find shortest unique prefix for every word in a given list</t>
  </si>
  <si>
    <t>Word Break Problem | (Trie solution)</t>
  </si>
  <si>
    <t>Implement a Phone Directory</t>
  </si>
  <si>
    <t>Print unique rows in a given boolean matrix</t>
  </si>
  <si>
    <t>Coin ChangeProblem</t>
  </si>
  <si>
    <t>Knapsack Problem</t>
  </si>
  <si>
    <t>Binomial CoefficientProblem</t>
  </si>
  <si>
    <t>Permutation CoefficientProblem</t>
  </si>
  <si>
    <t>Program for nth Catalan Number</t>
  </si>
  <si>
    <t>Matrix Chain Multiplication </t>
  </si>
  <si>
    <t>Edit Distance</t>
  </si>
  <si>
    <t>Friends Pairing Problem</t>
  </si>
  <si>
    <t>Gold Mine Problem</t>
  </si>
  <si>
    <t>Assembly Line SchedulingProblem</t>
  </si>
  <si>
    <t>Painting the Fenceproblem</t>
  </si>
  <si>
    <t>Maximize The Cut Segments</t>
  </si>
  <si>
    <t>Longest Common Subsequence</t>
  </si>
  <si>
    <t>Longest Repeated Subsequence</t>
  </si>
  <si>
    <t>Longest Increasing Subsequence</t>
  </si>
  <si>
    <t>Space Optimized Solution of LCS</t>
  </si>
  <si>
    <t>LCS (Longest Common Subsequence) of three strings</t>
  </si>
  <si>
    <t>Maximum Sum Increasing Subsequence</t>
  </si>
  <si>
    <t>Count all subsequences having product less than K</t>
  </si>
  <si>
    <t>Longest subsequence such that difference between adjacent is one</t>
  </si>
  <si>
    <t>Maximum subsequence sum such that no three are consecutive</t>
  </si>
  <si>
    <t>Egg Dropping Problem</t>
  </si>
  <si>
    <t>Maximum Length Chain of Pairs</t>
  </si>
  <si>
    <t>Maximum size square sub-matrix with all 1s</t>
  </si>
  <si>
    <t>Maximum sum of pairs with specific difference</t>
  </si>
  <si>
    <t>Min Cost PathProblem</t>
  </si>
  <si>
    <t>Maximum difference of zeros and ones in binary string</t>
  </si>
  <si>
    <t>Minimum number of jumps to reach end</t>
  </si>
  <si>
    <t>Minimum cost to fill given weight in a bag</t>
  </si>
  <si>
    <t>Minimum removals from array to make max –min &lt;= K</t>
  </si>
  <si>
    <t>Longest Common Substring</t>
  </si>
  <si>
    <t>Count number of ways to reacha given score in a game</t>
  </si>
  <si>
    <t>Count Balanced Binary Trees of Height h</t>
  </si>
  <si>
    <t>LargestSum Contiguous Subarray [V&gt;V&gt;V&gt;V IMP ]</t>
  </si>
  <si>
    <t>Smallest sum contiguous subarray</t>
  </si>
  <si>
    <t>Unbounded Knapsack (Repetition of items allowed)</t>
  </si>
  <si>
    <t>Word Break Problem</t>
  </si>
  <si>
    <t>Largest Independent Set Problem</t>
  </si>
  <si>
    <t>Partition problem</t>
  </si>
  <si>
    <t>Longest Palindromic Subsequence</t>
  </si>
  <si>
    <t>Longest Palindromic Substring</t>
  </si>
  <si>
    <t>Longest alternating subsequence</t>
  </si>
  <si>
    <t>Weighted Job Scheduling</t>
  </si>
  <si>
    <t>Coin game winner where every player has three choices</t>
  </si>
  <si>
    <t>Count Derangements (Permutation such that no element appears in its original position) [ IMPORTANT ]</t>
  </si>
  <si>
    <t>Maximum profit by buying and selling a share at most twice [ IMP ]</t>
  </si>
  <si>
    <t>Optimal Strategy for a Game</t>
  </si>
  <si>
    <t>Optimal Binary Search Tree</t>
  </si>
  <si>
    <t>Palindrome PartitioningProblem</t>
  </si>
  <si>
    <t>Word Wrap Problem</t>
  </si>
  <si>
    <t>Mobile Numeric Keypad Problem [ IMP ]</t>
  </si>
  <si>
    <t>Boolean Parenthesization Problem</t>
  </si>
  <si>
    <t>Largest rectangular sub-matrix whose sum is 0</t>
  </si>
  <si>
    <t>Largest area rectangular sub-matrix with equal number of 1’s and 0’s [ IMP ]</t>
  </si>
  <si>
    <t>Maximum sum rectangle in a 2D matrix</t>
  </si>
  <si>
    <t>Maximum profit by buying and selling a share at most k times</t>
  </si>
  <si>
    <t>Find if a string is interleaved of two other strings</t>
  </si>
  <si>
    <t>Maximum Length of Pair Chain</t>
  </si>
  <si>
    <t>Count set bits in an integer</t>
  </si>
  <si>
    <t>Find the two non-repeating elements in an array of repeating elements</t>
  </si>
  <si>
    <t>Count number of bits to be flipped to convert A to B</t>
  </si>
  <si>
    <t>Count total set bits in all numbers from 1 to n</t>
  </si>
  <si>
    <t>Program to find whether a no is power of two</t>
  </si>
  <si>
    <t>Find position of the only set bit</t>
  </si>
  <si>
    <t>Copy set bits in a range</t>
  </si>
  <si>
    <t>Divide two integers without using multiplication, division and mod operator</t>
  </si>
  <si>
    <t>Calculate square of a number without using *, / and pow()</t>
  </si>
  <si>
    <t>Power Set</t>
  </si>
  <si>
    <t xml:space="preserve">Inorder Traversal of a tree both using recursion and Iteration  </t>
  </si>
  <si>
    <t>Try to solve using Morris Traversal. O(1) Aux.Space</t>
  </si>
  <si>
    <t>Binary Tree Level Order Traversal II  (Leetcode 107)</t>
  </si>
  <si>
    <t>Combinational Sum                            (Leetcode 39)</t>
  </si>
  <si>
    <t>Combination Sum 2 (Leetcode 40)</t>
  </si>
  <si>
    <t>Combination Sum 3 (Leetcode 216)</t>
  </si>
  <si>
    <t>Combination Sum 4 (Leetcode 377)</t>
  </si>
  <si>
    <t>Print all permutations of a string or array  (Leetcode 46)</t>
  </si>
  <si>
    <t>Subsets (Leetcode 78) (Print all The subset)</t>
  </si>
  <si>
    <t>Subset 2 (Leetcode 90) (Print all the Unique Subsets as the array may contain duplicates)</t>
  </si>
  <si>
    <t>Letter Case Permutations (Leetcode 78)</t>
  </si>
  <si>
    <t>Partition Equal Subset Sum</t>
  </si>
  <si>
    <t>Revison Required</t>
  </si>
  <si>
    <t>Do the implementation without using set STL.</t>
  </si>
  <si>
    <t>Penalty (Codeforces)</t>
  </si>
  <si>
    <t>Permute Digits (Codeforces)</t>
  </si>
  <si>
    <t>Generate Parentheses (Leetcode 22)</t>
  </si>
  <si>
    <t>Permutation 2 (Leetcode 47)  (Print all the Unique Permuations) (Duplicates are present in array)</t>
  </si>
  <si>
    <t>Count Numbers with Unique Digits (Leetcode 357)</t>
  </si>
  <si>
    <t>The Power Sum  (Hackerrank)</t>
  </si>
  <si>
    <t>Additive Number (Leetcode 306)</t>
  </si>
  <si>
    <t>Divisor Game (Leetcode 1025)</t>
  </si>
  <si>
    <t>Counting Bits (Leetcode 338)</t>
  </si>
  <si>
    <t>1.Bitmasking 2.Dp</t>
  </si>
  <si>
    <t>Pascal Trainagle (Leetcode 118)</t>
  </si>
  <si>
    <t>Pascal Trainagle 2 (Leetcode 119)</t>
  </si>
  <si>
    <t>O(rowIndex)  extra space</t>
  </si>
  <si>
    <t>Group the People Given the Group Size They Belong To (Leetcode 1282)</t>
  </si>
  <si>
    <t> Find All Duplicates in an Array (Leetcode 442)</t>
  </si>
  <si>
    <t>Longest Consecutive Sequence (Leetcode 128)</t>
  </si>
  <si>
    <t>Partition Labels (Leetcode 763)</t>
  </si>
  <si>
    <t>Merge Intervals (Leetcode 56)</t>
  </si>
  <si>
    <t>Top K frequent elemnts (leetcode 347)</t>
  </si>
  <si>
    <t>1.Sorting (nlogn) 2.Heaps</t>
  </si>
  <si>
    <t>Kth Lagest Elemrnt in an array (Leetcode 215)</t>
  </si>
  <si>
    <t>Subarray Sum Equal K (Leetcode 560)</t>
  </si>
  <si>
    <t>Phone Number (Codeforces)</t>
  </si>
  <si>
    <t>Swap Nodes In Pairs (Leetcode 24)</t>
  </si>
  <si>
    <t>Delete  a node in a linked list (Leetcode 237) (We are not provided the head of the linked list)</t>
  </si>
  <si>
    <t>Revision</t>
  </si>
  <si>
    <t>Minimum Falling Path Sum(Leetcode 931)</t>
  </si>
  <si>
    <t>2 key Keyboard (Leetcode 650)</t>
  </si>
  <si>
    <t>Perfect Square(Leetcode 279)</t>
  </si>
  <si>
    <t>Leetcode(64)</t>
  </si>
  <si>
    <t>Triangle(Leetcode 120)</t>
  </si>
  <si>
    <t xml:space="preserve">Solve in o(n) extra space only </t>
  </si>
  <si>
    <t>Subset Sum To Target</t>
  </si>
  <si>
    <t>Count Of Subset With given Sum</t>
  </si>
  <si>
    <t>Subset Sum Difference</t>
  </si>
  <si>
    <t>Count the number of subset with a given difference</t>
  </si>
  <si>
    <t>Leetcode 416</t>
  </si>
  <si>
    <t>Solve it using Tail call optimized recursive 
function and without tail call optimized recursive function</t>
  </si>
  <si>
    <r>
      <t>Given an integer array </t>
    </r>
    <r>
      <rPr>
        <b/>
        <sz val="14"/>
        <rFont val="Arial"/>
        <family val="2"/>
      </rPr>
      <t>arr</t>
    </r>
    <r>
      <rPr>
        <sz val="14"/>
        <rFont val="Arial"/>
        <family val="2"/>
      </rPr>
      <t> of size </t>
    </r>
    <r>
      <rPr>
        <b/>
        <sz val="14"/>
        <rFont val="Arial"/>
        <family val="2"/>
      </rPr>
      <t>N</t>
    </r>
    <r>
      <rPr>
        <sz val="14"/>
        <rFont val="Arial"/>
        <family val="2"/>
      </rPr>
      <t>, the task is to divide it into two sets S1 and S2 
.such that the absolute difference between their sums is equal to d and return the total count.</t>
    </r>
  </si>
  <si>
    <t>Tag: (Most Efficient Approach)/Hint</t>
  </si>
  <si>
    <t>Print Longest Common Subsequence</t>
  </si>
  <si>
    <t>Print Longest Common Substring</t>
  </si>
  <si>
    <t>Improved Complexity --&gt;Suffix Tree</t>
  </si>
  <si>
    <t>Shortest Common SuperSequence</t>
  </si>
  <si>
    <t>Print Shortest Common SuperSequence</t>
  </si>
  <si>
    <t>Minimum number of deletions and insertions to transform one string into another</t>
  </si>
  <si>
    <t>LPS(S)=LCS(S,REVERSE(S))</t>
  </si>
  <si>
    <t>Leetcode Link</t>
  </si>
  <si>
    <t>Count Pailendromic Substring</t>
  </si>
  <si>
    <t>Count All Palindromic Subsequence in a given String (Duplicate Subsequence Allowed)</t>
  </si>
  <si>
    <t>Count Different Pailendromic Subsequence (Leetcode 730)</t>
  </si>
  <si>
    <t>https://www.youtube.com/watch?v=YHSjvswCXC8&amp;t=235s&amp;ab_ch
annel=Pepcoding</t>
  </si>
  <si>
    <t>https://www.youtube.com/watch
?v=fvYlinirmFg&amp;ab_channel=Pepcoding</t>
  </si>
  <si>
    <t xml:space="preserve">Minimum No. of Deletion in a String to make it a pailendrome </t>
  </si>
  <si>
    <t>Minimum No. of Insertion in a String to make it a pailendrome  (Leetcode1312)</t>
  </si>
  <si>
    <t>same as LCS.only a slight variation is required.</t>
  </si>
  <si>
    <t>Find length of longest subsequence of one string which is substring of another string</t>
  </si>
  <si>
    <t>Subarray Sum divisible by K (Leetcode 974)</t>
  </si>
  <si>
    <t xml:space="preserve"> O(Node) time and O(1) space</t>
  </si>
  <si>
    <t>Do it in a single Pass</t>
  </si>
  <si>
    <t xml:space="preserve">Merge Two Sorted List </t>
  </si>
  <si>
    <t>Delete Nth node from last in a linked list</t>
  </si>
  <si>
    <t>Insertion Sort on Linked List</t>
  </si>
  <si>
    <t>Proof Of Floyed Cycle Detection Algorithm(Link)</t>
  </si>
  <si>
    <t>Implement a Singly Linked List</t>
  </si>
  <si>
    <t>Use Oops Concepts</t>
  </si>
  <si>
    <t xml:space="preserve"> </t>
  </si>
  <si>
    <t>FoldOf Linked List</t>
  </si>
  <si>
    <t>Unfold Of a Linked List</t>
  </si>
  <si>
    <t>First solve it using the brute force solution and then solve it 
using the optimized way using merge sort and analayse the time complexity using pen and paper. (Good Question to analyse time Complexity Concepts).</t>
  </si>
  <si>
    <t>Analyse the time complexity of the algorithm.</t>
  </si>
  <si>
    <t>Do it inplace  (Reursive and Iterative)</t>
  </si>
  <si>
    <t>Odd Even Linked List (Leetcode 328)</t>
  </si>
  <si>
    <t>Reverse Linked List in Ranges (Leetcode 92)</t>
  </si>
  <si>
    <t>Insert at a given Position in a doubly Linked List</t>
  </si>
  <si>
    <t>The Key Idea here is that first move n positions from the head
of the Linked list. After that fix a pointer to the head and 
another Pointer to the nth node then move one step at a time
untill the forward(fast) Pointer reaches to the last node then 
automatically the backward pointer will point to the node
which is nth from the end. (Done in single Pass).</t>
  </si>
  <si>
    <t>Swapping Nodes In a Linked List(Leetcode 1721)</t>
  </si>
  <si>
    <t>Similar concept related to finding nth node from the end in a 
Linked List in one pass</t>
  </si>
  <si>
    <t>House Robber 3(Leetcode 337)</t>
  </si>
  <si>
    <t>Think Dp.</t>
  </si>
  <si>
    <t>Binary Tree Camera(Leetcode 968)</t>
  </si>
  <si>
    <t>Last Stone Weight_2(Leetcode_1049)</t>
  </si>
  <si>
    <t>Work On Improving the time
Complexity of the DP Solution</t>
  </si>
  <si>
    <t>Partition Array Into Two Arrays to Minimize Sum Difference(Leetcode2035)</t>
  </si>
  <si>
    <t>Partition Array Max Sum (Leetcode 1043)</t>
  </si>
  <si>
    <t>Gas Station(Leetcode 134)</t>
  </si>
  <si>
    <t>Very Important Concept</t>
  </si>
  <si>
    <t>Sliding Window</t>
  </si>
  <si>
    <t>Maximum Xor Of Two Numbers in an Array( Leetcode 421)</t>
  </si>
  <si>
    <t>Maximum Xor of two numbers in an array (Leetcode 421)</t>
  </si>
  <si>
    <t>(Difference Methods and Floyd Cycle
 Detection Method)</t>
  </si>
  <si>
    <t>Donot Swap the elements try to mangae
 the pointer only.</t>
  </si>
  <si>
    <t>Try to solve Iteratively.</t>
  </si>
  <si>
    <t>Majority Elements</t>
  </si>
  <si>
    <t>Moore Vooting Algorithm</t>
  </si>
  <si>
    <t>Majority Elements 2</t>
  </si>
  <si>
    <t>Remove Duplicates from Sorted Array II</t>
  </si>
  <si>
    <t>Leetcode_567_Permutation in String</t>
  </si>
  <si>
    <t>Leetcode_556_Next_Greater_Element_3</t>
  </si>
  <si>
    <t>Leetcode_438_Find All Anagrams in a String</t>
  </si>
  <si>
    <t>Implement Skip List</t>
  </si>
  <si>
    <t>Implement Doubly Linked List</t>
  </si>
  <si>
    <t>Binary Search On Singly Linked List</t>
  </si>
  <si>
    <t>Learn the Concepts of Skip List</t>
  </si>
  <si>
    <t>Leetcode_142_Linked_List_Cycle_II(Start_Point of Cycle)</t>
  </si>
  <si>
    <t>Leetcode_1669_Merge_In_Between_LL</t>
  </si>
  <si>
    <t>Leetcode_237_Delete_a_node_in_Linked_List(Without Head Pointer)</t>
  </si>
  <si>
    <t>Leetcode_25_Reverse_Node_In_K_Group</t>
  </si>
  <si>
    <t>Leetcode_725_Split_Linked_List_Parts</t>
  </si>
  <si>
    <t>Leetcode_92_Reverse_in_Ranges</t>
  </si>
  <si>
    <t>Solve Other Problems regarding this and watch the 
github repo of Linked List</t>
  </si>
  <si>
    <t>Partition to k equal Subset Sum (Leetcode 698)</t>
  </si>
  <si>
    <t>(Recursion + Backtracking) Will lead to TLE. Try to 
solve using Dynamic Programming.</t>
  </si>
  <si>
    <t>Leetcode_1497_Check If Array Pairs Are Divisible by k</t>
  </si>
  <si>
    <t>Leetcode_15_Three_Sum</t>
  </si>
  <si>
    <t>Leetcode_1658_Minimum Operations to Reduce X to Zero</t>
  </si>
  <si>
    <t>Improve the space Complexity to O(1).</t>
  </si>
  <si>
    <t>Leetcode_1675_Minimize Deviation in Array</t>
  </si>
  <si>
    <t>Leetcode_1_Two_Sum.</t>
  </si>
  <si>
    <t>Leetcode_16_3_Sum_Closest.</t>
  </si>
  <si>
    <t>Leetcode_18_4_Sum</t>
  </si>
  <si>
    <t>Leetcode_76_Minimum Window Substring</t>
  </si>
  <si>
    <t>Leetcode_496_Next_Greater_Element_1.</t>
  </si>
  <si>
    <t>Important Concept.</t>
  </si>
  <si>
    <t>Leetcode_503_Next_Greater_Element_2.</t>
  </si>
  <si>
    <t>Leetcode_739_Daily_Temperature.</t>
  </si>
  <si>
    <t>Leetcode_402_Remove K Digits.</t>
  </si>
  <si>
    <t>Stock Span</t>
  </si>
  <si>
    <t>Leetcode_84_Largest_Rectangle_In_Histogram.</t>
  </si>
  <si>
    <t>Leetcode_42_Trapping_Rain_Water.</t>
  </si>
  <si>
    <t>1.Using Stack. 2. Dp</t>
  </si>
  <si>
    <t>Leetcode_208_Implement_Trie(Prefix Tree).</t>
  </si>
  <si>
    <t>Store the frequency of string 't' initially and keep on 
storing the frequncy of string 's' while iterating. 
Whenever we get all the character of string 't' in 's' 
then it means we get a valid window that contains all 
the character of t.  In the same way we will chose the 
window of minimum Length</t>
  </si>
  <si>
    <t>Leetcode_1381_Design_a_Stack_With_Increment_Operation</t>
  </si>
  <si>
    <t>Leetcode_309_Best Time to Buy and Sell Stock with Cooldown</t>
  </si>
  <si>
    <t>Largest Multiple Of 3 (Leetcode 1363)</t>
  </si>
  <si>
    <t>1.BFS:- (We will only push that element in the queue whose clone is not created).
2.DFS:- (We will Intiate recursion call from that node only whose copies are not created).</t>
  </si>
  <si>
    <t>Design Browser History (Leetcode 1472)</t>
  </si>
  <si>
    <t>The Intitutive Approach is to use the Doubly Linked List. Think About Improving the Time Complexity</t>
  </si>
  <si>
    <t>Imp-Link</t>
  </si>
  <si>
    <t>https://leetcode.com/problems/maximum-subarray/discuss/1595195/C%2B%2BPython-7
-Simple-Solutions-w-Explanation-or-Brute-Force-%2B-DP-%2B-Kadane-%2B-Divide-and-Conquer</t>
  </si>
  <si>
    <t>Maximum Sum Circular Subarray (Circular Kadenn's) (Leetcode 918)</t>
  </si>
  <si>
    <t xml:space="preserve"> Print Each Level in a New Line</t>
  </si>
  <si>
    <t>1.Maths 2. Backtracking</t>
  </si>
  <si>
    <t xml:space="preserve">(1. Recursion + Backtracking.) 2. Dynamic Programming </t>
  </si>
  <si>
    <t>1.Dp 2.Maths</t>
  </si>
  <si>
    <t>1.Recursion+Memoization. 2. Bottom Up</t>
  </si>
  <si>
    <t xml:space="preserve"> O(N^2) --&gt; Brute Force; O(Nlog(N))-&gt; using Hashmap/ Set ; 
O(N)--&gt; Using Trie</t>
  </si>
  <si>
    <t xml:space="preserve">     Red--&gt;Redo the Question; Orange---&gt;Partially Understood; Green --&gt;Good to go to next Question. </t>
  </si>
  <si>
    <r>
      <t xml:space="preserve">                                                                                                                        </t>
    </r>
    <r>
      <rPr>
        <b/>
        <sz val="14"/>
        <rFont val="Calibri"/>
        <family val="2"/>
        <scheme val="minor"/>
      </rPr>
      <t>Array</t>
    </r>
  </si>
  <si>
    <r>
      <t xml:space="preserve">                                                                           </t>
    </r>
    <r>
      <rPr>
        <b/>
        <sz val="14"/>
        <rFont val="Calibri"/>
        <family val="2"/>
        <scheme val="minor"/>
      </rPr>
      <t xml:space="preserve"> String</t>
    </r>
  </si>
  <si>
    <r>
      <t xml:space="preserve">                                                                  </t>
    </r>
    <r>
      <rPr>
        <b/>
        <sz val="14"/>
        <rFont val="Calibri"/>
        <family val="2"/>
        <scheme val="minor"/>
      </rPr>
      <t>Binary Search</t>
    </r>
  </si>
  <si>
    <r>
      <t xml:space="preserve">                                                                    </t>
    </r>
    <r>
      <rPr>
        <b/>
        <sz val="14"/>
        <rFont val="Calibri"/>
        <family val="2"/>
        <scheme val="minor"/>
      </rPr>
      <t>Linked List</t>
    </r>
  </si>
  <si>
    <t>Linked List Components (Leetcode 817)</t>
  </si>
  <si>
    <t>Reverse Nodes in Even Length Groups (Leetcode 2074)</t>
  </si>
  <si>
    <r>
      <t xml:space="preserve">                                                                        </t>
    </r>
    <r>
      <rPr>
        <b/>
        <sz val="14"/>
        <rFont val="Calibri"/>
        <family val="2"/>
        <scheme val="minor"/>
      </rPr>
      <t>Binary Tree</t>
    </r>
  </si>
  <si>
    <t>Binary Tree Coloring Game (Leetcode 1145)</t>
  </si>
  <si>
    <r>
      <t xml:space="preserve">                                                                          </t>
    </r>
    <r>
      <rPr>
        <b/>
        <sz val="14"/>
        <rFont val="Calibri"/>
        <family val="2"/>
        <scheme val="minor"/>
      </rPr>
      <t xml:space="preserve"> BST</t>
    </r>
  </si>
  <si>
    <r>
      <t xml:space="preserve">                                                                  </t>
    </r>
    <r>
      <rPr>
        <b/>
        <sz val="14"/>
        <rFont val="Calibri"/>
        <family val="2"/>
        <scheme val="minor"/>
      </rPr>
      <t>Greedy</t>
    </r>
  </si>
  <si>
    <r>
      <t xml:space="preserve">                                                                 </t>
    </r>
    <r>
      <rPr>
        <b/>
        <sz val="14"/>
        <rFont val="Calibri"/>
        <family val="2"/>
        <scheme val="minor"/>
      </rPr>
      <t>Recursion And Backtracking</t>
    </r>
  </si>
  <si>
    <r>
      <rPr>
        <u/>
        <sz val="14"/>
        <rFont val="Calibri"/>
        <family val="2"/>
        <scheme val="minor"/>
      </rPr>
      <t>Pailendrome Parititioning(Leetcode 131</t>
    </r>
    <r>
      <rPr>
        <u/>
        <sz val="12"/>
        <rFont val="Calibri"/>
        <family val="2"/>
        <scheme val="minor"/>
      </rPr>
      <t>)</t>
    </r>
  </si>
  <si>
    <r>
      <t xml:space="preserve">                                                                         </t>
    </r>
    <r>
      <rPr>
        <b/>
        <sz val="14"/>
        <rFont val="Calibri"/>
        <family val="2"/>
        <scheme val="minor"/>
      </rPr>
      <t>Stacks And Queues</t>
    </r>
  </si>
  <si>
    <r>
      <t xml:space="preserve">                                                                                         </t>
    </r>
    <r>
      <rPr>
        <b/>
        <sz val="14"/>
        <rFont val="Calibri"/>
        <family val="2"/>
        <scheme val="minor"/>
      </rPr>
      <t>Heaps</t>
    </r>
  </si>
  <si>
    <r>
      <t xml:space="preserve">                                             </t>
    </r>
    <r>
      <rPr>
        <b/>
        <sz val="14"/>
        <rFont val="Calibri"/>
        <family val="2"/>
        <scheme val="minor"/>
      </rPr>
      <t xml:space="preserve"> Graph (Algorithms)</t>
    </r>
    <r>
      <rPr>
        <sz val="14"/>
        <rFont val="Calibri"/>
        <family val="2"/>
        <scheme val="minor"/>
      </rPr>
      <t xml:space="preserve">  [Questions mainly available on CP Sheet).</t>
    </r>
  </si>
  <si>
    <r>
      <t xml:space="preserve">                                                                                     </t>
    </r>
    <r>
      <rPr>
        <b/>
        <sz val="14"/>
        <rFont val="Calibri"/>
        <family val="2"/>
        <scheme val="minor"/>
      </rPr>
      <t>Trie</t>
    </r>
  </si>
  <si>
    <r>
      <t xml:space="preserve">                                                                      </t>
    </r>
    <r>
      <rPr>
        <sz val="16"/>
        <rFont val="Calibri"/>
        <family val="2"/>
        <scheme val="minor"/>
      </rPr>
      <t xml:space="preserve">  </t>
    </r>
    <r>
      <rPr>
        <b/>
        <sz val="16"/>
        <rFont val="Calibri"/>
        <family val="2"/>
        <scheme val="minor"/>
      </rPr>
      <t>Dynamic Programming</t>
    </r>
  </si>
  <si>
    <t>Minimum Cost For Ticket (Leetcode 983)</t>
  </si>
  <si>
    <r>
      <t xml:space="preserve">                                                                           </t>
    </r>
    <r>
      <rPr>
        <b/>
        <sz val="14"/>
        <rFont val="Calibri"/>
        <family val="2"/>
        <scheme val="minor"/>
      </rPr>
      <t xml:space="preserve"> Bit Manipulation</t>
    </r>
  </si>
  <si>
    <r>
      <t xml:space="preserve">                                                                                                                        </t>
    </r>
    <r>
      <rPr>
        <b/>
        <sz val="14"/>
        <rFont val="Calibri"/>
        <family val="2"/>
        <scheme val="minor"/>
      </rPr>
      <t xml:space="preserve"> Hashmap</t>
    </r>
  </si>
  <si>
    <r>
      <t xml:space="preserve">                                                                                                    </t>
    </r>
    <r>
      <rPr>
        <b/>
        <sz val="14"/>
        <rFont val="Calibri"/>
        <family val="2"/>
        <scheme val="minor"/>
      </rPr>
      <t>Design Questions</t>
    </r>
  </si>
  <si>
    <t>Its an Extension Of Kaden's Algorithm.  There are two cases 1. If the maximum sum is present in non
circulr array. 2. Maximum Sum is present in the circular array .  (The trick here is to find the minimum 
subarray sum that can be obtained in the non -circular part of the subarray ).</t>
  </si>
  <si>
    <t>K_Concatenation Maximum Sum (Leetcode 1191)</t>
  </si>
  <si>
    <t>Observation Based Problem</t>
  </si>
  <si>
    <r>
      <t xml:space="preserve">           </t>
    </r>
    <r>
      <rPr>
        <b/>
        <sz val="16"/>
        <color theme="8"/>
        <rFont val="Calibri"/>
        <family val="2"/>
        <scheme val="minor"/>
      </rPr>
      <t>Blue</t>
    </r>
    <r>
      <rPr>
        <b/>
        <sz val="16"/>
        <color theme="1"/>
        <rFont val="Calibri"/>
        <family val="2"/>
        <scheme val="minor"/>
      </rPr>
      <t>:-Revision</t>
    </r>
  </si>
  <si>
    <t>Blue:-Revision</t>
  </si>
  <si>
    <t>Problems</t>
  </si>
  <si>
    <t>Hint</t>
  </si>
  <si>
    <r>
      <t xml:space="preserve">                     </t>
    </r>
    <r>
      <rPr>
        <b/>
        <sz val="12"/>
        <color rgb="FFC00000"/>
        <rFont val="Calibri"/>
        <family val="2"/>
        <scheme val="minor"/>
      </rPr>
      <t>RECURSION &amp; BACKTRACKING</t>
    </r>
  </si>
  <si>
    <r>
      <t xml:space="preserve">                                       </t>
    </r>
    <r>
      <rPr>
        <b/>
        <sz val="12"/>
        <color rgb="FFC00000"/>
        <rFont val="Calibri"/>
        <family val="2"/>
        <scheme val="minor"/>
      </rPr>
      <t xml:space="preserve">  DP</t>
    </r>
  </si>
  <si>
    <r>
      <t xml:space="preserve">                                          </t>
    </r>
    <r>
      <rPr>
        <b/>
        <sz val="12"/>
        <color rgb="FFC00000"/>
        <rFont val="Calibri"/>
        <family val="2"/>
        <scheme val="minor"/>
      </rPr>
      <t xml:space="preserve"> TREE</t>
    </r>
  </si>
  <si>
    <r>
      <t xml:space="preserve">                                       </t>
    </r>
    <r>
      <rPr>
        <b/>
        <sz val="12"/>
        <color rgb="FFC00000"/>
        <rFont val="Calibri"/>
        <family val="2"/>
        <scheme val="minor"/>
      </rPr>
      <t>GRAPH</t>
    </r>
  </si>
  <si>
    <r>
      <t xml:space="preserve">                           </t>
    </r>
    <r>
      <rPr>
        <sz val="11"/>
        <color rgb="FFFF0000"/>
        <rFont val="Calibri"/>
        <family val="2"/>
        <scheme val="minor"/>
      </rPr>
      <t xml:space="preserve">             </t>
    </r>
  </si>
  <si>
    <t>Time Needed To inform All Employees(Leetcode 1376)</t>
  </si>
  <si>
    <r>
      <t xml:space="preserve">                                             </t>
    </r>
    <r>
      <rPr>
        <b/>
        <sz val="12"/>
        <color rgb="FFFF0000"/>
        <rFont val="Calibri"/>
        <family val="2"/>
        <scheme val="minor"/>
      </rPr>
      <t xml:space="preserve">  </t>
    </r>
  </si>
  <si>
    <r>
      <t xml:space="preserve">                                                            </t>
    </r>
    <r>
      <rPr>
        <b/>
        <sz val="12"/>
        <color rgb="FFFF0000"/>
        <rFont val="Calibri"/>
        <family val="2"/>
        <scheme val="minor"/>
      </rPr>
      <t>Tree:-</t>
    </r>
  </si>
  <si>
    <t>Travel By Car(Atcoder)</t>
  </si>
  <si>
    <t>Find the City With the Smallest Number of Neighbors at a Threshold Distance(Leetcode 1334)</t>
  </si>
  <si>
    <t>Cheapest Flights Within K Stops (Leetcode 787)</t>
  </si>
  <si>
    <t>Min Cost Path (GFG)</t>
  </si>
  <si>
    <t>Find Best Path (CodeChef)</t>
  </si>
  <si>
    <t>Netwrok Delay Time (Leetcode 743)</t>
  </si>
  <si>
    <r>
      <t xml:space="preserve">           </t>
    </r>
    <r>
      <rPr>
        <b/>
        <sz val="12"/>
        <color rgb="FFFF0000"/>
        <rFont val="Calibri"/>
        <family val="2"/>
        <scheme val="minor"/>
      </rPr>
      <t>Shortest Path Algorithm:-</t>
    </r>
  </si>
  <si>
    <r>
      <rPr>
        <u/>
        <sz val="11"/>
        <rFont val="Calibri"/>
        <family val="2"/>
        <scheme val="minor"/>
      </rPr>
      <t>Minimum Cost to Connect All Points(Leetcode 1584</t>
    </r>
    <r>
      <rPr>
        <u/>
        <sz val="11"/>
        <color theme="10"/>
        <rFont val="Calibri"/>
        <family val="2"/>
        <scheme val="minor"/>
      </rPr>
      <t>)</t>
    </r>
  </si>
  <si>
    <r>
      <t xml:space="preserve">      </t>
    </r>
    <r>
      <rPr>
        <b/>
        <sz val="12"/>
        <color rgb="FFFF0000"/>
        <rFont val="Calibri"/>
        <family val="2"/>
        <scheme val="minor"/>
      </rPr>
      <t xml:space="preserve"> Minimum Spanning Tree:-</t>
    </r>
  </si>
  <si>
    <t>Built (Atcoder)</t>
  </si>
  <si>
    <t>Remove Max Number of Edges to Keep Graph Fully Traversable (Leetcod 1579)</t>
  </si>
  <si>
    <t>Experience (Codeforces)(DSU)</t>
  </si>
  <si>
    <t>Parking(Codeforces)(DSU)</t>
  </si>
  <si>
    <t>Solve using both dfs and dsu</t>
  </si>
  <si>
    <t>Ice Skating (codeforces)</t>
  </si>
  <si>
    <t>More Optimization</t>
  </si>
  <si>
    <t>Most Stones Removed from same row or column</t>
  </si>
  <si>
    <t>Number of Operations to Make Network Connected</t>
  </si>
  <si>
    <t>Redundant Coneection</t>
  </si>
  <si>
    <t>using dfs solve without creating the adjacenct list</t>
  </si>
  <si>
    <t>No. Of Provinces (DFS and DSU)</t>
  </si>
  <si>
    <r>
      <t xml:space="preserve">       </t>
    </r>
    <r>
      <rPr>
        <b/>
        <sz val="11"/>
        <color rgb="FFFF0000"/>
        <rFont val="Calibri"/>
        <family val="2"/>
        <scheme val="minor"/>
      </rPr>
      <t>DISJOINT SET UNION:-</t>
    </r>
  </si>
  <si>
    <t>Game Routes (CSES)</t>
  </si>
  <si>
    <t>Largest Color Value in a directed Graph (Leetcode 1857)</t>
  </si>
  <si>
    <t>Course Schedule 2(Leetcode 210)</t>
  </si>
  <si>
    <t>All Path From Source To Target(Leetcode 797)</t>
  </si>
  <si>
    <r>
      <t xml:space="preserve">                                 </t>
    </r>
    <r>
      <rPr>
        <b/>
        <sz val="11"/>
        <color rgb="FFFF0000"/>
        <rFont val="Calibri"/>
        <family val="2"/>
        <scheme val="minor"/>
      </rPr>
      <t>DAG and TOPOLOGICAL ORDERING:-</t>
    </r>
  </si>
  <si>
    <t>Shortest Cycle in an Undirected Graph</t>
  </si>
  <si>
    <t>Detect Cycles in  2d-Grid</t>
  </si>
  <si>
    <t>Detecting an Odd Length Cycle</t>
  </si>
  <si>
    <t>Is the Graph Bipartite ?</t>
  </si>
  <si>
    <t>Course Schedule (Cycle Detection in a directed Graph)</t>
  </si>
  <si>
    <t xml:space="preserve">Cycle Detection In Undirected Graph </t>
  </si>
  <si>
    <r>
      <t xml:space="preserve">                                  </t>
    </r>
    <r>
      <rPr>
        <b/>
        <sz val="12"/>
        <color rgb="FFFF0000"/>
        <rFont val="Calibri"/>
        <family val="2"/>
        <scheme val="minor"/>
      </rPr>
      <t xml:space="preserve"> CYCLE DETECTION:-</t>
    </r>
  </si>
  <si>
    <t>Crazy Robot (Codeforces)</t>
  </si>
  <si>
    <t>Making a Large Island (Leetcode 827)</t>
  </si>
  <si>
    <t>Coloring a tree(codeforces)</t>
  </si>
  <si>
    <t>Count Subisland (Leetcode 1905)</t>
  </si>
  <si>
    <t>Count Servers that communicate (Leetcode 1267)</t>
  </si>
  <si>
    <t>No of Enclaves(Leetcode 1020)</t>
  </si>
  <si>
    <t>Flower Painting with no adjacent</t>
  </si>
  <si>
    <t>Count Ways(coding ninjas)</t>
  </si>
  <si>
    <t>Coloring a boarder(Leetcode 1034)   (Flood Fill)</t>
  </si>
  <si>
    <t>Island Perimeter(Leetcode 463)               (Flood Fill)</t>
  </si>
  <si>
    <t>No of Closed Island (Leetcode 1254)     (Flood Fill)</t>
  </si>
  <si>
    <t>Use Of Trie DataStructure</t>
  </si>
  <si>
    <t>Word Search 2(Leetcode 212)</t>
  </si>
  <si>
    <r>
      <t>Follow up:</t>
    </r>
    <r>
      <rPr>
        <sz val="11"/>
        <rFont val="Segoe UI"/>
        <family val="2"/>
      </rPr>
      <t> Could you use search pruning to make your solution faster with a  larger board?</t>
    </r>
  </si>
  <si>
    <t>Word Search(Leetcode 79)</t>
  </si>
  <si>
    <t>Pretty Similar to word search(leetcode 79)</t>
  </si>
  <si>
    <t>Path With Maximum Gold (Leetcode 1219)</t>
  </si>
  <si>
    <t>Reconstruct Itinerary (DFS)</t>
  </si>
  <si>
    <t>Astronaut Pairs (DFS)</t>
  </si>
  <si>
    <t>Flood Fill (Leetcode 733)</t>
  </si>
  <si>
    <t>Maximum Area Of Island(Leetcode695)  (FloodFill)</t>
  </si>
  <si>
    <t>No of Islands(Leetcode 200) (FloodFill)</t>
  </si>
  <si>
    <t>Keys and Rooms (DFS)</t>
  </si>
  <si>
    <t xml:space="preserve">                                                              DFS:-</t>
  </si>
  <si>
    <t>Multisource BFS and Some Important 
Observation regarding Tree</t>
  </si>
  <si>
    <t>Minimum Height Tree (Leetcode 310)</t>
  </si>
  <si>
    <t>Multisource BFS</t>
  </si>
  <si>
    <t>Map of Highest Peak (Leetcode 1765)</t>
  </si>
  <si>
    <t>DFS and Multisource BFS</t>
  </si>
  <si>
    <t>Shortest Bridge (Leetcode 934)</t>
  </si>
  <si>
    <t>Rotting Orange (Leetcode 994)</t>
  </si>
  <si>
    <t>0-1 Matrix (Leetcode 542)</t>
  </si>
  <si>
    <t>Easy Question to revise DFS, DSU,BFS and
Iterative DFS</t>
  </si>
  <si>
    <t>Find if Path Exists in Graph(Leetcode 1971)</t>
  </si>
  <si>
    <t>Good Question</t>
  </si>
  <si>
    <t>Two Buttons(Codeforces)</t>
  </si>
  <si>
    <t>Kabunsyo(Atcoder)</t>
  </si>
  <si>
    <t>Valid Bfs?  (BFS) (Codeforces)</t>
  </si>
  <si>
    <t>Word Ladder (BFS)</t>
  </si>
  <si>
    <t>Message Route (BFS)</t>
  </si>
  <si>
    <t>Snakes and Ladder Game (BFS)</t>
  </si>
  <si>
    <t>Implementation with Observation</t>
  </si>
  <si>
    <t>BFS in a Graph (Coding ninjas)</t>
  </si>
  <si>
    <t xml:space="preserve">                                                               BFS:-</t>
  </si>
  <si>
    <t>Minimum Degree of a Connected Trio in a Graph (Graph Representaion)</t>
  </si>
  <si>
    <t>Maximal Network Rank (Graph Representation)</t>
  </si>
  <si>
    <t>Find The Centre Of Star Graph (Graph Representation)</t>
  </si>
  <si>
    <t xml:space="preserve">                                     Graph Representation:-</t>
  </si>
  <si>
    <r>
      <t xml:space="preserve">                                                                                                                  </t>
    </r>
    <r>
      <rPr>
        <sz val="18"/>
        <color rgb="FFFF0000"/>
        <rFont val="Calibri"/>
        <family val="2"/>
        <scheme val="minor"/>
      </rPr>
      <t xml:space="preserve"> </t>
    </r>
    <r>
      <rPr>
        <b/>
        <sz val="18"/>
        <color rgb="FFFF0000"/>
        <rFont val="Calibri"/>
        <family val="2"/>
        <scheme val="minor"/>
      </rPr>
      <t>CM- Graph</t>
    </r>
  </si>
  <si>
    <r>
      <rPr>
        <b/>
        <sz val="12"/>
        <color rgb="FFFF0000"/>
        <rFont val="Calibri"/>
        <family val="2"/>
        <scheme val="minor"/>
      </rPr>
      <t>Dp on Graph</t>
    </r>
    <r>
      <rPr>
        <b/>
        <sz val="11"/>
        <color rgb="FFFF0000"/>
        <rFont val="Calibri"/>
        <family val="2"/>
        <scheme val="minor"/>
      </rPr>
      <t>:-</t>
    </r>
  </si>
  <si>
    <t>Bakery and Partitioningn(Codeforces)</t>
  </si>
  <si>
    <t>Subordinates (Cses)</t>
  </si>
  <si>
    <r>
      <t xml:space="preserve">                                               </t>
    </r>
    <r>
      <rPr>
        <b/>
        <sz val="12"/>
        <color rgb="FFFF0000"/>
        <rFont val="Calibri"/>
        <family val="2"/>
        <scheme val="minor"/>
      </rPr>
      <t>Dp On Tree:-</t>
    </r>
  </si>
  <si>
    <t>Add One (Codeforces)</t>
  </si>
  <si>
    <t>Digit Dp:-</t>
  </si>
  <si>
    <t>Strange LunchBox(Atcoder)</t>
  </si>
  <si>
    <t>K-order LCS</t>
  </si>
  <si>
    <t>Lcs With 3 Strings</t>
  </si>
  <si>
    <t>Robot Path (Codechef)</t>
  </si>
  <si>
    <t>Top-Down DP</t>
  </si>
  <si>
    <t>Unstable String (Codeforces)</t>
  </si>
  <si>
    <t>Range DP</t>
  </si>
  <si>
    <t>The Sports Festival (Codeforces)</t>
  </si>
  <si>
    <t>Armchair(Codeforces)</t>
  </si>
  <si>
    <t>Sleeping Schedule(Codeforces)</t>
  </si>
  <si>
    <t>Knapsack Based</t>
  </si>
  <si>
    <t>FG-operation(Atcoder)</t>
  </si>
  <si>
    <t>Barcode(Codeforces)</t>
  </si>
  <si>
    <t>Unbounded Knapsack</t>
  </si>
  <si>
    <t>Vacations(Codeforces)</t>
  </si>
  <si>
    <t>Weather(Codeforces)</t>
  </si>
  <si>
    <t>BasketBall Exercise (Codeforces)</t>
  </si>
  <si>
    <t>Subset Sum Easy</t>
  </si>
  <si>
    <t>The Subset Sum To Target</t>
  </si>
  <si>
    <t xml:space="preserve">Valentine Magic </t>
  </si>
  <si>
    <t>Vivek Loves Array Game</t>
  </si>
  <si>
    <t>Atcoder Link</t>
  </si>
  <si>
    <t>Find all distinct subset (or subsequence) sums</t>
  </si>
  <si>
    <t>0-1 KnapSack</t>
  </si>
  <si>
    <t>Leetcode(486)</t>
  </si>
  <si>
    <t>Optimal Game Startegy-2</t>
  </si>
  <si>
    <t>Optimal Game Startegy-1 (Constraints Small) (Recursion)</t>
  </si>
  <si>
    <r>
      <t xml:space="preserve">                                                                                                    </t>
    </r>
    <r>
      <rPr>
        <b/>
        <sz val="18"/>
        <color rgb="FFFF0000"/>
        <rFont val="Calibri"/>
        <family val="2"/>
        <scheme val="minor"/>
      </rPr>
      <t>2d-Dp</t>
    </r>
  </si>
  <si>
    <t>If N is small then we can solve it using 
DP.solve it for N&lt;=10^18
Hint:-https://www.codingninjas.com/codestudio/problem-details/count-ways-to-reach-nth-stairs_798650</t>
  </si>
  <si>
    <t>Count The Number of ways to reach Nth stairs</t>
  </si>
  <si>
    <t>The Way To Home (Codeforce)</t>
  </si>
  <si>
    <t>Interesting Encoding</t>
  </si>
  <si>
    <t>Bridges</t>
  </si>
  <si>
    <t>Rod Cutting</t>
  </si>
  <si>
    <t>Cell Mitiosis(Solve Bottom Up)</t>
  </si>
  <si>
    <t>Count Subsequences</t>
  </si>
  <si>
    <t>Job for Bounties</t>
  </si>
  <si>
    <t>Maximum Power (Maximum Product Of Subarray)</t>
  </si>
  <si>
    <t>Box Stacking Problem</t>
  </si>
  <si>
    <t>Calvin's Game (Codechef)</t>
  </si>
  <si>
    <t>Maximum Sum K-Partition (Codechef)</t>
  </si>
  <si>
    <t>SUPW (Codechef)</t>
  </si>
  <si>
    <t>IPL ( Given a sequence of positive numbers, find the maximum sum that can be formed which has no three consecutive elements present)</t>
  </si>
  <si>
    <t>Boredom (CodeForces) --&gt;Similar Question (Alice and Bob)  (Neighbouring Enemy) --&gt;(Hackerblock)</t>
  </si>
  <si>
    <t>Flood Fill (Codeforces)</t>
  </si>
  <si>
    <t>Minimum Jumps Required (1d- dp)</t>
  </si>
  <si>
    <t>Minimum Jumps (1d- dp)</t>
  </si>
  <si>
    <t>Bali Pair (1d-dp) (So Many Ways (Codechef))</t>
  </si>
  <si>
    <t>Ladder- l (1d-dp)</t>
  </si>
  <si>
    <r>
      <t xml:space="preserve">                                                                                                     </t>
    </r>
    <r>
      <rPr>
        <b/>
        <sz val="16"/>
        <color rgb="FFFF0000"/>
        <rFont val="Calibri"/>
        <family val="2"/>
        <scheme val="minor"/>
      </rPr>
      <t>(1d and 2d Dp) (Mixed)</t>
    </r>
  </si>
  <si>
    <t>Buying Fruits (2d-dp)</t>
  </si>
  <si>
    <t>Coin Change (Introductory Problem)  (2d-dp)</t>
  </si>
  <si>
    <t>solve for n&gt;=(10^5)</t>
  </si>
  <si>
    <t>Pailendromic Queries (Introductory Problem)</t>
  </si>
  <si>
    <t>Friends Pairing Problem (Introductory Problem) (1d- dp)</t>
  </si>
  <si>
    <t xml:space="preserve">Print the binary strings as well </t>
  </si>
  <si>
    <t>Count Number of Binary Strings Without Consecutive 1's (Introductory  Problem) (1d-dp) or (2d dp)</t>
  </si>
  <si>
    <t>Tiling Problem -2 (Introductory Problem) (1d-dp)</t>
  </si>
  <si>
    <t>Tiling Problem -1 (Introductory Problem) (1d-dp)</t>
  </si>
  <si>
    <t>Time Complexity</t>
  </si>
  <si>
    <r>
      <t xml:space="preserve">                                                                                                                   </t>
    </r>
    <r>
      <rPr>
        <sz val="14"/>
        <color theme="1"/>
        <rFont val="Calibri"/>
        <family val="2"/>
        <scheme val="minor"/>
      </rPr>
      <t xml:space="preserve"> </t>
    </r>
    <r>
      <rPr>
        <b/>
        <sz val="14"/>
        <color rgb="FFFF0000"/>
        <rFont val="Calibri"/>
        <family val="2"/>
        <scheme val="minor"/>
      </rPr>
      <t>CB-DP</t>
    </r>
  </si>
  <si>
    <t>Shortest Path Visiting All Nodes (Leetcode 847)</t>
  </si>
  <si>
    <t>Simultaneous BFS. The Visited array needs to be maintained very smartly. The Key Idea is 
to make bfs call from every node and handle the visited part while traversing.</t>
  </si>
  <si>
    <t>It is similar to the question finding starting point of a loop in a linked list.</t>
  </si>
  <si>
    <t>Leetcode_2170_Minimum Operation to Make the array Alternating</t>
  </si>
  <si>
    <t>Store the frequency of first and second largest elements in odd and even positions.</t>
  </si>
  <si>
    <t>https://leetcode.com/articles/a-recursive-approach-to-segment-trees-range-sum-queries-lazy-propagation/</t>
  </si>
  <si>
    <t>SEGMENT TREE</t>
  </si>
  <si>
    <t>https://leetcode.com/explore/learn/card/trie/</t>
  </si>
  <si>
    <t>TRIE</t>
  </si>
  <si>
    <t>https://leetcode.com/problems/sliding-window-median/</t>
  </si>
  <si>
    <t>https://leetcode.com/problems/grumpy-bookstore-owner/</t>
  </si>
  <si>
    <t>https://leetcode.com/problems/max-consecutive-ones-iii/</t>
  </si>
  <si>
    <t>https://leetcode.com/problems/longest-substring-with-at-least-k-repeating-characters/</t>
  </si>
  <si>
    <t>MEDIUM/HARD</t>
  </si>
  <si>
    <t>SLIDING WINDOW</t>
  </si>
  <si>
    <t>https://leetcode.com/problems/k-th-smallest-prime-fraction/</t>
  </si>
  <si>
    <t>https://leetcode.com/problems/minimum-cost-to-hire-k-workers/</t>
  </si>
  <si>
    <t>https://leetcode.com/problems/shortest-path-to-get-all-keys/</t>
  </si>
  <si>
    <t>https://leetcode.com/problems/swim-in-rising-water/</t>
  </si>
  <si>
    <t>https://leetcode.com/problems/minimum-number-of-refueling-stops/</t>
  </si>
  <si>
    <t>https://leetcode.com/problems/trapping-rain-water-ii/</t>
  </si>
  <si>
    <t>https://leetcode.com/problems/the-skyline-problem/</t>
  </si>
  <si>
    <t>https://leetcode.com/problems/sliding-window-maximum/</t>
  </si>
  <si>
    <t>https://leetcode.com/problems/merge-k-sorted-lists/</t>
  </si>
  <si>
    <t>HARD</t>
  </si>
  <si>
    <t>https://leetcode.com/problems/ugly-number-ii/</t>
  </si>
  <si>
    <t>https://leetcode.com/problems/find-the-most-competitive-subsequence/</t>
  </si>
  <si>
    <t>https://leetcode.com/problems/cheapest-flights-within-k-stops/</t>
  </si>
  <si>
    <t>https://leetcode.com/problems/kth-smallest-element-in-a-sorted-matrix/</t>
  </si>
  <si>
    <t>https://leetcode.com/problems/furthest-building-you-can-reach/</t>
  </si>
  <si>
    <t>https://leetcode.com/problems/reorganize-string/</t>
  </si>
  <si>
    <t>https://leetcode.com/problems/kth-largest-element-in-an-array/</t>
  </si>
  <si>
    <t>https://leetcode.com/problems/k-closest-points-to-origin/</t>
  </si>
  <si>
    <t>MEDIUM</t>
  </si>
  <si>
    <t>HEAP</t>
  </si>
  <si>
    <t>https://leetcode.com/problems/reverse-nodes-in-k-group/</t>
  </si>
  <si>
    <t>https://leetcode.com/problems/rotate-list/</t>
  </si>
  <si>
    <t>https://leetcode.com/problems/swap-nodes-in-pairs/</t>
  </si>
  <si>
    <t>https://leetcode.com/problems/sort-list/</t>
  </si>
  <si>
    <t>https://leetcode.com/problems/odd-even-linked-list/</t>
  </si>
  <si>
    <t>https://leetcode.com/problems/remove-duplicates-from-sorted-list-ii/</t>
  </si>
  <si>
    <t>https://leetcode.com/problems/partition-list/</t>
  </si>
  <si>
    <t>https://leetcode.com/problems/flatten-a-multilevel-doubly-linked-list/</t>
  </si>
  <si>
    <t>https://leetcode.com/problems/remove-nth-node-from-end-of-list/</t>
  </si>
  <si>
    <t>https://leetcode.com/problems/reorder-list/</t>
  </si>
  <si>
    <t>https://leetcode.com/problems/reverse-linked-list-ii/</t>
  </si>
  <si>
    <t>https://leetcode.com/problems/add-two-numbers-ii/</t>
  </si>
  <si>
    <t>https://leetcode.com/problems/copy-list-with-random-pointer/</t>
  </si>
  <si>
    <t>https://leetcode.com/problems/add-two-numbers/</t>
  </si>
  <si>
    <t>https://leetcode.com/problems/remove-linked-list-elements/</t>
  </si>
  <si>
    <t>https://leetcode.com/problems/palindrome-linked-list/</t>
  </si>
  <si>
    <t>https://leetcode.com/problems/linked-list-cycle/</t>
  </si>
  <si>
    <t>https://leetcode.com/problems/intersection-of-two-linked-lists/</t>
  </si>
  <si>
    <t>https://leetcode.com/problems/remove-duplicates-from-sorted-list/</t>
  </si>
  <si>
    <t>https://leetcode.com/problems/merge-two-sorted-lists/</t>
  </si>
  <si>
    <t>https://leetcode.com/problems/reverse-linked-list/</t>
  </si>
  <si>
    <t>https://leetcode.com/problems/design-hashmap/</t>
  </si>
  <si>
    <t>https://leetcode.com/problems/design-hashset/</t>
  </si>
  <si>
    <t>https://leetcode.com/problems/convert-binary-number-in-a-linked-list-to-integer/</t>
  </si>
  <si>
    <t>https://leetcode.com/problems/middle-of-the-linked-list/</t>
  </si>
  <si>
    <t>https://leetcode.com/problems/delete-node-in-a-linked-list/</t>
  </si>
  <si>
    <t>EASY</t>
  </si>
  <si>
    <t>LINKED LIST</t>
  </si>
  <si>
    <t>https://leetcode.com/problems/sum-of-two-integers/discuss/84278/A-summary%3A-how-to-use-bit-manipulation-to-solve-problems-easily-and-efficiently</t>
  </si>
  <si>
    <t>BIT MANIPULATION</t>
  </si>
  <si>
    <t>https://leetcode.com/problems/time-needed-to-inform-all-employees/</t>
  </si>
  <si>
    <t>https://leetcode.com/problems/find-the-city-with-the-smallest-number-of-neighbors-at-a-threshold-distance/</t>
  </si>
  <si>
    <t>https://leetcode.com/problems/number-of-operations-to-make-network-connected/</t>
  </si>
  <si>
    <t>https://leetcode.com/problems/number-of-closed-islands/</t>
  </si>
  <si>
    <t>https://leetcode.com/problems/as-far-from-land-as-possible/</t>
  </si>
  <si>
    <t>https://leetcode.com/problems/satisfiability-of-equality-equations/</t>
  </si>
  <si>
    <t>https://leetcode.com/problems/regions-cut-by-slashes/</t>
  </si>
  <si>
    <t>https://leetcode.com/problems/most-stones-removed-with-same-row-or-column/</t>
  </si>
  <si>
    <t>https://leetcode.com/problems/possible-bipartition/</t>
  </si>
  <si>
    <t>https://leetcode.com/problems/keys-and-rooms/</t>
  </si>
  <si>
    <t>https://leetcode.com/problems/find-eventual-safe-states/</t>
  </si>
  <si>
    <t>https://leetcode.com/problems/network-delay-time/</t>
  </si>
  <si>
    <t>https://leetcode.com/problems/accounts-merge/</t>
  </si>
  <si>
    <t>https://leetcode.com/problems/evaluate-division/</t>
  </si>
  <si>
    <t>https://leetcode.com/problems/find-the-town-judge/</t>
  </si>
  <si>
    <t>https://leetcode.com/problems/employee-importance/</t>
  </si>
  <si>
    <t>GRAPH</t>
  </si>
  <si>
    <t>https://leetcode.com/problems/design-browser-history/</t>
  </si>
  <si>
    <t>https://leetcode.com/problems/all-oone-data-structure/</t>
  </si>
  <si>
    <t>https://leetcode.com/problems/tweet-counts-per-frequency/</t>
  </si>
  <si>
    <t>https://leetcode.com/problems/lfu-cache/</t>
  </si>
  <si>
    <t>https://leetcode.com/problems/design-underground-system/</t>
  </si>
  <si>
    <t>https://leetcode.com/problems/find-median-from-data-stream/</t>
  </si>
  <si>
    <t>https://leetcode.com/problems/lru-cache/</t>
  </si>
  <si>
    <t>MEDIUM / HARD</t>
  </si>
  <si>
    <t>DESIGN</t>
  </si>
  <si>
    <t>https://leetcode.com/problems/evaluate-reverse-polish-notation/</t>
  </si>
  <si>
    <t>https://www.youtube.com/watch?v=9-TXIVEXX2w</t>
  </si>
  <si>
    <t>https://leetcode.com/problems/sum-of-subarray-minimums/</t>
  </si>
  <si>
    <t>https://leetcode.com/problems/minimum-cost-tree-from-leaf-values/</t>
  </si>
  <si>
    <t>https://leetcode.com/problems/online-stock-span/</t>
  </si>
  <si>
    <t>https://leetcode.com/problems/flatten-nested-list-iterator/</t>
  </si>
  <si>
    <t>https://leetcode.com/problems/daily-temperatures/</t>
  </si>
  <si>
    <t>https://leetcode.com/problems/remove-all-adjacent-duplicates-in-string-ii/</t>
  </si>
  <si>
    <t>https://leetcode.com/problems/implement-stack-using-queues/</t>
  </si>
  <si>
    <r>
      <rPr>
        <u/>
        <sz val="10"/>
        <color rgb="FF1155CC"/>
        <rFont val="Arial"/>
      </rPr>
      <t>https://www.youtube.com/watch?v=B9bSSOnc0CQ</t>
    </r>
    <r>
      <rPr>
        <sz val="12"/>
        <color theme="1"/>
        <rFont val="Calibri"/>
        <family val="2"/>
        <scheme val="minor"/>
      </rPr>
      <t>,</t>
    </r>
    <r>
      <rPr>
        <u/>
        <sz val="10"/>
        <color rgb="FF1155CC"/>
        <rFont val="Arial"/>
      </rPr>
      <t>https://www.youtube.com/watch?v=oUbZurIKnsY</t>
    </r>
    <r>
      <rPr>
        <sz val="12"/>
        <color theme="1"/>
        <rFont val="Calibri"/>
        <family val="2"/>
        <scheme val="minor"/>
      </rPr>
      <t xml:space="preserve"> ,</t>
    </r>
  </si>
  <si>
    <t xml:space="preserve">PRE , POST , INORDER TRAVERSALS OF BINARY TREE </t>
  </si>
  <si>
    <t>https://leetcode.com/problems/implement-queue-using-stacks/</t>
  </si>
  <si>
    <t>https://leetcode.com/problems/backspace-string-compare/</t>
  </si>
  <si>
    <t>https://www.youtube.com/watch?v=TunTV2-griM</t>
  </si>
  <si>
    <t>https://leetcode.com/problems/next-greater-element-i/</t>
  </si>
  <si>
    <t>https://leetcode.com/problems/min-stack/</t>
  </si>
  <si>
    <t>STACK</t>
  </si>
  <si>
    <t>https://leetcode.com/problems/unique-paths-iii/</t>
  </si>
  <si>
    <t>https://leetcode.com/problems/n-queens/</t>
  </si>
  <si>
    <t>https://leetcode.com/problems/sudoku-solver/</t>
  </si>
  <si>
    <t>https://leetcode.com/problems/word-search-ii/</t>
  </si>
  <si>
    <t>https://leetcode.com/problems/beautiful-arrangement/</t>
  </si>
  <si>
    <t>https://leetcode.com/problems/subsets-ii/</t>
  </si>
  <si>
    <t>https://leetcode.com/problems/permutations-ii/</t>
  </si>
  <si>
    <t>https://leetcode.com/problems/combinations/</t>
  </si>
  <si>
    <t>https://leetcode.com/problems/combination-sum-ii/</t>
  </si>
  <si>
    <t>https://leetcode.com/problems/palindrome-partitioning/</t>
  </si>
  <si>
    <t xml:space="preserve">BACKTRACKING </t>
  </si>
  <si>
    <t>https://leetcode.com/problems/subarrays-with-k-different-integers/</t>
  </si>
  <si>
    <t>https://leetcode.com/problems/maximum-number-of-visible-points/</t>
  </si>
  <si>
    <t>https://leetcode.com/problems/longest-repeating-character-replacement/</t>
  </si>
  <si>
    <t>https://leetcode.com/problems/sort-colors/</t>
  </si>
  <si>
    <t>https://leetcode.com/problems/partition-labels/</t>
  </si>
  <si>
    <t xml:space="preserve">MEDIUM / HARD </t>
  </si>
  <si>
    <t>TWO POINTER</t>
  </si>
  <si>
    <t>https://leetcode.com/problems/reachable-nodes-in-subdivided-graph/</t>
  </si>
  <si>
    <t>https://leetcode.com/problems/cut-off-trees-for-golf-event/</t>
  </si>
  <si>
    <t>https://leetcode.com/problems/word-ladder-ii/</t>
  </si>
  <si>
    <t>https://leetcode.com/problems/word-ladder/</t>
  </si>
  <si>
    <t>https://leetcode.com/problems/minimum-jumps-to-reach-home/</t>
  </si>
  <si>
    <t>https://leetcode.com/problems/is-graph-bipartite/</t>
  </si>
  <si>
    <t>https://leetcode.com/problems/snakes-and-ladders/</t>
  </si>
  <si>
    <t>https://leetcode.com/problems/rotting-oranges/</t>
  </si>
  <si>
    <t>https://leetcode.com/problems/number-of-islands/</t>
  </si>
  <si>
    <t>BFS</t>
  </si>
  <si>
    <t>https://leetcode.com/problems/shortest-subarray-with-sum-at-least-k/</t>
  </si>
  <si>
    <t>https://leetcode.com/problems/split-array-largest-sum/</t>
  </si>
  <si>
    <t>https://leetcode.com/problems/max-sum-of-rectangle-no-larger-than-k/</t>
  </si>
  <si>
    <t>https://leetcode.com/problems/count-of-smaller-numbers-after-self/</t>
  </si>
  <si>
    <t>https://leetcode.com/problems/median-of-two-sorted-arrays/</t>
  </si>
  <si>
    <t>https://leetcode.com/problems/minimum-limit-of-balls-in-a-bag/</t>
  </si>
  <si>
    <t>https://leetcode.com/problems/capacity-to-ship-packages-within-d-days/</t>
  </si>
  <si>
    <t>https://leetcode.com/problems/divide-two-integers/</t>
  </si>
  <si>
    <t>https://leetcode.com/problems/search-a-2d-matrix/</t>
  </si>
  <si>
    <t>https://leetcode.com/problems/find-peak-element/</t>
  </si>
  <si>
    <t>https://leetcode.com/problems/find-first-and-last-position-of-element-in-sorted-array/</t>
  </si>
  <si>
    <t>https://leetcode.com/problems/powx-n/</t>
  </si>
  <si>
    <t>https://leetcode.com/problems/search-in-rotated-sorted-array/</t>
  </si>
  <si>
    <t>https://leetcode.com/problems/time-based-key-value-store/</t>
  </si>
  <si>
    <t>https://leetcode.com/problems/peak-index-in-a-mountain-array/</t>
  </si>
  <si>
    <t>https://leetcode.com/problems/count-negative-numbers-in-a-sorted-matrix/</t>
  </si>
  <si>
    <t>https://leetcode.com/problems/binary-search/</t>
  </si>
  <si>
    <t>https://leetcode.com/problems/sqrtx/</t>
  </si>
  <si>
    <t>BINARY SEARCH</t>
  </si>
  <si>
    <t>https://leetcode.com/problems/design-twitter/</t>
  </si>
  <si>
    <t>https://leetcode.com/problems/top-k-frequent-elements/</t>
  </si>
  <si>
    <t>https://leetcode.com/problems/verifying-an-alien-dictionary/</t>
  </si>
  <si>
    <t xml:space="preserve">HASH TABLE </t>
  </si>
  <si>
    <t>https://leetcode.com/problems/redundant-connection-ii/</t>
  </si>
  <si>
    <t>https://leetcode.com/problems/number-of-ways-to-reconstruct-a-tree/</t>
  </si>
  <si>
    <t>https://leetcode.com/problems/sum-of-distances-in-tree/</t>
  </si>
  <si>
    <t>https://leetcode.com/problems/binary-tree-cameras/</t>
  </si>
  <si>
    <t>https://leetcode.com/problems/vertical-order-traversal-of-a-binary-tree/</t>
  </si>
  <si>
    <t>https://leetcode.com/problems/binary-tree-maximum-path-sum/</t>
  </si>
  <si>
    <t>https://leetcode.com/problems/serialize-and-deserialize-binary-tree/</t>
  </si>
  <si>
    <t>https://leetcode.com/problems/redundant-connection/</t>
  </si>
  <si>
    <t>https://leetcode.com/problems/kth-smallest-element-in-a-bst/</t>
  </si>
  <si>
    <t>https://leetcode.com/problems/unique-binary-search-trees-ii/</t>
  </si>
  <si>
    <t>https://leetcode.com/problems/maximum-width-of-binary-tree/</t>
  </si>
  <si>
    <t>https://leetcode.com/problems/flatten-binary-tree-to-linked-list/</t>
  </si>
  <si>
    <t>https://leetcode.com/problems/populating-next-right-pointers-in-each-node/</t>
  </si>
  <si>
    <t>https://leetcode.com/problems/recover-binary-search-tree/</t>
  </si>
  <si>
    <t>https://leetcode.com/problems/unique-binary-search-trees/</t>
  </si>
  <si>
    <t>https://leetcode.com/problems/construct-binary-tree-from-preorder-and-postorder-traversal/</t>
  </si>
  <si>
    <t>https://leetcode.com/problems/path-sum-iii/</t>
  </si>
  <si>
    <t>https://leetcode.com/problems/binary-tree-level-order-traversal/</t>
  </si>
  <si>
    <t>https://leetcode.com/problems/binary-search-tree-iterator/</t>
  </si>
  <si>
    <t>https://leetcode.com/problems/binary-tree-zigzag-level-order-traversal/</t>
  </si>
  <si>
    <t>https://leetcode.com/problems/validate-binary-search-tree/</t>
  </si>
  <si>
    <t>https://leetcode.com/problems/all-nodes-distance-k-in-binary-tree/</t>
  </si>
  <si>
    <t>https://leetcode.com/problems/binary-tree-right-side-view/</t>
  </si>
  <si>
    <t>https://leetcode.com/problems/lowest-common-ancestor-of-a-binary-tree/</t>
  </si>
  <si>
    <t>https://leetcode.com/problems/count-good-nodes-in-binary-tree/</t>
  </si>
  <si>
    <r>
      <rPr>
        <u/>
        <sz val="10"/>
        <color rgb="FF1155CC"/>
        <rFont val="Arial"/>
      </rPr>
      <t>https://leetcode.com/problems/binary-tree-inorder-traversal/</t>
    </r>
    <r>
      <rPr>
        <u/>
        <sz val="10"/>
        <color rgb="FF000000"/>
        <rFont val="Arial"/>
      </rPr>
      <t xml:space="preserve">   (USING STACK TOO)</t>
    </r>
  </si>
  <si>
    <t>https://leetcode.com/problems/balanced-binary-tree/</t>
  </si>
  <si>
    <t>https://leetcode.com/problems/sum-of-left-leaves/</t>
  </si>
  <si>
    <t>https://leetcode.com/problems/minimum-absolute-difference-in-bst/</t>
  </si>
  <si>
    <t>https://leetcode.com/problems/path-sum/</t>
  </si>
  <si>
    <t>https://leetcode.com/problems/lowest-common-ancestor-of-a-binary-search-tree/</t>
  </si>
  <si>
    <t>https://leetcode.com/problems/same-tree/</t>
  </si>
  <si>
    <t>https://leetcode.com/problems/binary-tree-paths/</t>
  </si>
  <si>
    <t>https://leetcode.com/problems/maximum-depth-of-binary-tree/</t>
  </si>
  <si>
    <t>https://leetcode.com/problems/merge-two-binary-trees/</t>
  </si>
  <si>
    <t>https://leetcode.com/problems/convert-sorted-array-to-binary-search-tree/</t>
  </si>
  <si>
    <t>https://leetcode.com/problems/symmetric-tree/</t>
  </si>
  <si>
    <t>https://leetcode.com/problems/range-sum-of-bst/</t>
  </si>
  <si>
    <t>https://leetcode.com/problems/subtree-of-another-tree/</t>
  </si>
  <si>
    <t>https://leetcode.com/problems/invert-binary-tree/</t>
  </si>
  <si>
    <t>https://leetcode.com/problems/diameter-of-binary-tree/</t>
  </si>
  <si>
    <t>TREE</t>
  </si>
  <si>
    <t>https://leetcode.com/problems/remove-boxes/</t>
  </si>
  <si>
    <t>https://leetcode.com/problems/24-game/</t>
  </si>
  <si>
    <t>https://leetcode.com/problems/contain-virus/</t>
  </si>
  <si>
    <t>https://leetcode.com/problems/making-a-large-island/</t>
  </si>
  <si>
    <t>https://leetcode.com/problems/concatenated-words/</t>
  </si>
  <si>
    <t>https://leetcode.com/problems/longest-increasing-path-in-a-matrix/</t>
  </si>
  <si>
    <t>https://leetcode.com/problems/remove-invalid-parentheses/</t>
  </si>
  <si>
    <t>https://leetcode.com/problems/critical-connections-in-a-network/</t>
  </si>
  <si>
    <t>https://leetcode.com/problems/house-robber-iii/</t>
  </si>
  <si>
    <r>
      <rPr>
        <u/>
        <sz val="10"/>
        <color rgb="FF1155CC"/>
        <rFont val="Arial"/>
      </rPr>
      <t>https://leetcode.com/problems/surrounded-regions/</t>
    </r>
    <r>
      <rPr>
        <sz val="12"/>
        <color theme="1"/>
        <rFont val="Calibri"/>
        <family val="2"/>
        <scheme val="minor"/>
      </rPr>
      <t>/</t>
    </r>
  </si>
  <si>
    <t>https://leetcode.com/problems/all-paths-from-source-to-target/</t>
  </si>
  <si>
    <t>https://leetcode.com/problems/shortest-bridge/</t>
  </si>
  <si>
    <t>https://leetcode.com/problems/clone-graph/</t>
  </si>
  <si>
    <t>https://leetcode.com/problems/number-of-provinces/</t>
  </si>
  <si>
    <t>https://leetcode.com/problems/decode-string/</t>
  </si>
  <si>
    <t>https://leetcode.com/problems/course-schedule-ii/</t>
  </si>
  <si>
    <t>https://leetcode.com/problems/letter-combinations-of-a-phone-number/</t>
  </si>
  <si>
    <t>DFS</t>
  </si>
  <si>
    <t>https://leetcode.com/problems/create-maximum-number/</t>
  </si>
  <si>
    <t>https://leetcode.com/problems/minimum-number-of-taps-to-open-to-water-a-garden/</t>
  </si>
  <si>
    <t>https://leetcode.com/problems/candy/</t>
  </si>
  <si>
    <t>https://leetcode.com/problems/non-overlapping-intervals/</t>
  </si>
  <si>
    <t>https://leetcode.com/problems/restore-the-array-from-adjacent-pairs/</t>
  </si>
  <si>
    <t>https://leetcode.com/problems/remove-k-digits/</t>
  </si>
  <si>
    <t>https://leetcode.com/problems/minimum-deletions-to-make-character-frequencies-unique/</t>
  </si>
  <si>
    <t>https://leetcode.com/problems/maximum-number-of-events-that-can-be-attended/</t>
  </si>
  <si>
    <t>https://leetcode.com/problems/minimum-deletion-cost-to-avoid-repeating-letters/</t>
  </si>
  <si>
    <t>https://leetcode.com/problems/gas-station/</t>
  </si>
  <si>
    <t>https://leetcode.com/problems/task-scheduler/</t>
  </si>
  <si>
    <t>THAT WOULD BE TOO EASY FOR YOU , LETS DO MEDIUM</t>
  </si>
  <si>
    <t xml:space="preserve">EASY </t>
  </si>
  <si>
    <t xml:space="preserve">GREEDY </t>
  </si>
  <si>
    <t>https://leetcode.com/problems/number-of-digit-one/</t>
  </si>
  <si>
    <t>https://leetcode.com/problems/permutation-sequence/</t>
  </si>
  <si>
    <t>https://leetcode.com/problems/max-points-on-a-line/</t>
  </si>
  <si>
    <t>https://leetcode.com/problems/basic-calculator/</t>
  </si>
  <si>
    <t>https://leetcode.com/problems/the-kth-factor-of-n/</t>
  </si>
  <si>
    <t>https://leetcode.com/problems/valid-square/</t>
  </si>
  <si>
    <t>https://leetcode.com/problems/integer-break/</t>
  </si>
  <si>
    <t>https://leetcode.com/problems/angle-between-hands-of-a-clock/</t>
  </si>
  <si>
    <t>https://leetcode.com/problems/multiply-strings/</t>
  </si>
  <si>
    <t>https://leetcode.com/problems/string-to-integer-atoi/</t>
  </si>
  <si>
    <t>https://leetcode.com/problems/encode-and-decode-tinyurl/</t>
  </si>
  <si>
    <t>https://leetcode.com/problems/power-of-two/</t>
  </si>
  <si>
    <t>https://leetcode.com/problems/maximum-product-of-three-numbers/</t>
  </si>
  <si>
    <t>https://leetcode.com/problems/missing-number/</t>
  </si>
  <si>
    <t>https://leetcode.com/problems/excel-sheet-column-title/</t>
  </si>
  <si>
    <t>https://www.youtube.com/watch?v=ocDwEjRVDAk</t>
  </si>
  <si>
    <t>https://leetcode.com/problems/happy-number/</t>
  </si>
  <si>
    <t>https://leetcode.com/problems/minimum-moves-to-equal-array-elements/</t>
  </si>
  <si>
    <t>https://leetcode.com/problems/palindrome-number/</t>
  </si>
  <si>
    <t>https://leetcode.com/problems/add-binary/</t>
  </si>
  <si>
    <t>https://leetcode.com/problems/reverse-integer/</t>
  </si>
  <si>
    <t>MATHS</t>
  </si>
  <si>
    <t>https://leetcode.com/problems/substring-with-concatenation-of-all-words/</t>
  </si>
  <si>
    <t>https://leetcode.com/problems/smallest-range-covering-elements-from-k-lists/</t>
  </si>
  <si>
    <t>https://leetcode.com/problems/distinct-subsequences/</t>
  </si>
  <si>
    <t>https://leetcode.com/problems/valid-number/</t>
  </si>
  <si>
    <t>https://leetcode.com/problems/minimum-window-substring/</t>
  </si>
  <si>
    <t>https://leetcode.com/problems/integer-to-english-words/</t>
  </si>
  <si>
    <t>https://leetcode.com/problems/text-justification/</t>
  </si>
  <si>
    <t>https://leetcode.com/problems/zigzag-conversion/</t>
  </si>
  <si>
    <t>https://leetcode.com/problems/simplify-path/</t>
  </si>
  <si>
    <t>https://leetcode.com/problems/reverse-words-in-a-string/</t>
  </si>
  <si>
    <t>https://leetcode.com/problems/integer-to-roman/</t>
  </si>
  <si>
    <t>https://leetcode.com/problems/basic-calculator-ii/</t>
  </si>
  <si>
    <t>https://leetcode.com/problems/generate-parentheses/</t>
  </si>
  <si>
    <t>https://www.youtube.com/watch?v=NVIm5_TIqUs</t>
  </si>
  <si>
    <t>https://leetcode.com/problems/group-anagrams/</t>
  </si>
  <si>
    <t>https://leetcode.com/problems/longest-palindromic-substring/</t>
  </si>
  <si>
    <t>https://leetcode.com/problems/minimum-remove-to-make-valid-parentheses/</t>
  </si>
  <si>
    <t>https://leetcode.com/problems/longest-substring-without-repeating-characters/</t>
  </si>
  <si>
    <t>https://leetcode.com/problems/implement-strstr/</t>
  </si>
  <si>
    <t>https://leetcode.com/problems/roman-to-integer/</t>
  </si>
  <si>
    <t>https://leetcode.com/problems/valid-palindrome-ii/</t>
  </si>
  <si>
    <t>https://leetcode.com/problems/longest-common-prefix/</t>
  </si>
  <si>
    <t>https://leetcode.com/problems/add-strings/</t>
  </si>
  <si>
    <t>STRINGS</t>
  </si>
  <si>
    <t>https://leetcode.com/problems/minimum-cost-to-cut-a-stick/</t>
  </si>
  <si>
    <t>https://leetcode.com/problems/count-different-palindromic-subsequences/</t>
  </si>
  <si>
    <t>https://leetcode.com/problems/super-egg-drop/</t>
  </si>
  <si>
    <t>https://leetcode.com/problems/minimum-insertion-steps-to-make-a-string-palindrome/</t>
  </si>
  <si>
    <t>https://leetcode.com/problems/minimum-cost-to-merge-stones/</t>
  </si>
  <si>
    <t>https://leetcode.com/problems/burst-balloons/</t>
  </si>
  <si>
    <t>https://www.youtube.com/watch?v=mFwf1YbH-Jk</t>
  </si>
  <si>
    <t>https://leetcode.com/problems/best-time-to-buy-and-sell-stock-iv/</t>
  </si>
  <si>
    <t>https://leetcode.com/problems/frog-jump/</t>
  </si>
  <si>
    <t>https://leetcode.com/problems/minimum-difficulty-of-a-job-schedule/</t>
  </si>
  <si>
    <t>https://leetcode.com/problems/edit-distance/</t>
  </si>
  <si>
    <t>https://leetcode.com/problems/longest-valid-parentheses/</t>
  </si>
  <si>
    <t>https://leetcode.com/problems/maximal-rectangle/</t>
  </si>
  <si>
    <t>https://leetcode.com/problems/regular-expression-matching/</t>
  </si>
  <si>
    <t>https://leetcode.com/problems/word-break-ii/</t>
  </si>
  <si>
    <t>https://leetcode.com/problems/trapping-rain-water/</t>
  </si>
  <si>
    <t>https://leetcode.com/problems/longest-arithmetic-subsequence/</t>
  </si>
  <si>
    <t>https://leetcode.com/problems/range-sum-query-2d-immutable/</t>
  </si>
  <si>
    <t>https://leetcode.com/problems/count-square-submatrices-with-all-ones/</t>
  </si>
  <si>
    <t>https://leetcode.com/problems/unique-paths/</t>
  </si>
  <si>
    <t>https://leetcode.com/problems/longest-increasing-subsequence/</t>
  </si>
  <si>
    <t>https://leetcode.com/problems/knight-dialer/</t>
  </si>
  <si>
    <t>https://leetcode.com/problems/continuous-subarray-sum/</t>
  </si>
  <si>
    <t>https://www.youtube.com/watch?v=8BdXDakKZEs</t>
  </si>
  <si>
    <t>https://leetcode.com/problems/house-robber/</t>
  </si>
  <si>
    <t>https://leetcode.com/problems/palindromic-substrings/</t>
  </si>
  <si>
    <t>https://leetcode.com/problems/maximum-length-of-repeated-subarray/</t>
  </si>
  <si>
    <t>https://leetcode.com/problems/maximum-product-subarray/</t>
  </si>
  <si>
    <t>https://leetcode.com/problems/coin-change/</t>
  </si>
  <si>
    <t>https://leetcode.com/problems/maximal-square/</t>
  </si>
  <si>
    <t>https://leetcode.com/problems/delete-and-earn/</t>
  </si>
  <si>
    <t>https://www.youtube.com/watch?v=_iIK7Gu7MNo</t>
  </si>
  <si>
    <t>https://leetcode.com/problems/word-break/</t>
  </si>
  <si>
    <t>https://www.youtube.com/watch?v=N5i7ySYQcgM</t>
  </si>
  <si>
    <t>https://leetcode.com/problems/decode-ways/</t>
  </si>
  <si>
    <t>https://leetcode.com/problems/counting-bits/</t>
  </si>
  <si>
    <t>https://www.youtube.com/watch?v=UbE4-ONpJcc</t>
  </si>
  <si>
    <t>https://leetcode.com/problems/divisor-game/</t>
  </si>
  <si>
    <t>https://leetcode.com/problems/climbing-stairs</t>
  </si>
  <si>
    <t>https://leetcode.com/problems/maximum-subarray/</t>
  </si>
  <si>
    <t>DYNAMIC PROGRAMING</t>
  </si>
  <si>
    <t>https://www.youtube.com/watch?v=hOTpn8jE9jI</t>
  </si>
  <si>
    <t>https://leetcode.com/problems/max-value-of-equation/</t>
  </si>
  <si>
    <t>https://www.youtube.com/watch?v=YAWRyWJalM0</t>
  </si>
  <si>
    <t>https://leetcode.com/problems/best-time-to-buy-and-sell-stock-iii/</t>
  </si>
  <si>
    <t>https://leetcode.com/problems/insert-delete-getrandom-o1-duplicates-allowed/</t>
  </si>
  <si>
    <t>https://leetcode.com/problems/largest-rectangle-in-histogram/</t>
  </si>
  <si>
    <t>https://leetcode.com/problems/first-missing-positive/</t>
  </si>
  <si>
    <t>https://leetcode.com/problems/subarray-sums-divisible-by-k/</t>
  </si>
  <si>
    <t>https://leetcode.com/problems/jump-game/</t>
  </si>
  <si>
    <t>https://leetcode.com/problems/invalid-transactions/</t>
  </si>
  <si>
    <t>https://www.youtube.com/watch?v=6BPurabdAl4</t>
  </si>
  <si>
    <t>https://leetcode.com/problems/subsets/</t>
  </si>
  <si>
    <t>https://leetcode.com/problems/k-diff-pairs-in-an-array/</t>
  </si>
  <si>
    <t>https://leetcode.com/problems/find-all-duplicates-in-an-array/</t>
  </si>
  <si>
    <t>https://leetcode.com/problems/max-area-of-island/</t>
  </si>
  <si>
    <t>https://leetcode.com/problems/maximum-area-of-a-piece-of-cake-after-horizontal-and-vertical-cuts/</t>
  </si>
  <si>
    <t>https://leetcode.com/problems/maximum-points-you-can-obtain-from-cards/</t>
  </si>
  <si>
    <t>https://www.youtube.com/watch?v=1DkVU2i3sOA</t>
  </si>
  <si>
    <t>https://leetcode.com/problems/jump-game-ii/</t>
  </si>
  <si>
    <t>https://www.youtube.com/watch?v=yEAHwSS8HN0</t>
  </si>
  <si>
    <t>https://leetcode.com/problems/combination-sum/</t>
  </si>
  <si>
    <t>https://leetcode.com/problems/find-the-duplicate-number/</t>
  </si>
  <si>
    <t>https://www.youtube.com/watch?v=UG1C-otvF2U</t>
  </si>
  <si>
    <t>https://leetcode.com/problems/4sum/</t>
  </si>
  <si>
    <t>https://leetcode.com/problems/pairs-of-songs-with-total-durations-divisible-by-60/</t>
  </si>
  <si>
    <t>https://leetcode.com/problems/game-of-life/</t>
  </si>
  <si>
    <t>https://leetcode.com/problems/3sum-closest/</t>
  </si>
  <si>
    <t>https://leetcode.com/problems/word-search/</t>
  </si>
  <si>
    <t>https://leetcode.com/problems/rotate-image/</t>
  </si>
  <si>
    <t>https://leetcode.com/problems/container-with-most-water/</t>
  </si>
  <si>
    <t>https://leetcode.com/problems/spiral-matrix/</t>
  </si>
  <si>
    <t>https://leetcode.com/problems/next-permutation/</t>
  </si>
  <si>
    <t>https://leetcode.com/problems/subarray-sum-equals-k/discuss/301242/General-summary-of-what-kind-of-problem-can-cannot-solved-by-Two-Pointers</t>
  </si>
  <si>
    <t>https://leetcode.com/problems/subarray-sum-equals-k/</t>
  </si>
  <si>
    <r>
      <rPr>
        <u/>
        <sz val="10"/>
        <color rgb="FF000000"/>
        <rFont val="Arial"/>
      </rPr>
      <t xml:space="preserve">(Check the comment section of this post) </t>
    </r>
    <r>
      <rPr>
        <u/>
        <sz val="10"/>
        <color rgb="FF1155CC"/>
        <rFont val="Arial"/>
      </rPr>
      <t>https://leetcode.com/problems/insert-delete-getrandom-o1/discuss/85422/AC-C%2B%2B-Solution.-Unordered_map-%2B-Vector</t>
    </r>
  </si>
  <si>
    <t>https://leetcode.com/problems/insert-delete-getrandom-o1/</t>
  </si>
  <si>
    <t>https://www.youtube.com/watch?v=3X9-qs1Lwe4</t>
  </si>
  <si>
    <t>https://leetcode.com/problems/product-of-array-except-self/</t>
  </si>
  <si>
    <t>https://www.youtube.com/watch?v=TeegtfmEhTY</t>
  </si>
  <si>
    <t>https://leetcode.com/problems/3sum/</t>
  </si>
  <si>
    <t>https://leetcode.com/problems/merge-intervals/discuss/21222/A-simple-Java-solution</t>
  </si>
  <si>
    <t>https://leetcode.com/problems/merge-intervals/</t>
  </si>
  <si>
    <t>https://leetcode.com/problems/remove-duplicates-from-sorted-array/discuss/11782/Share-my-clean-C%2B%2B-code</t>
  </si>
  <si>
    <t>https://leetcode.com/problems/remove-duplicates-from-sorted-array/</t>
  </si>
  <si>
    <t>https://leetcode.com/problems/pascals-triangle/discuss/38125/Solution-in-Java</t>
  </si>
  <si>
    <t>https://leetcode.com/problems/pascals-triangle/</t>
  </si>
  <si>
    <t>https://leetcode.com/problems/squares-of-a-sorted-array/discuss/495394/C%2B%2B%3A-Simplest-one-pass-two-pointers</t>
  </si>
  <si>
    <t>https://leetcode.com/problems/squares-of-a-sorted-array/</t>
  </si>
  <si>
    <t>https://www.youtube.com/watch?v=MyFe2W2nIEE&amp;list=PLKZaSt2df1gxtem7J8QqY8m2bHliz8mPt</t>
  </si>
  <si>
    <t>https://leetcode.com/problems/fibonacci-number/</t>
  </si>
  <si>
    <t>https://www.youtube.com/watch?v=PqU48t80rn8</t>
  </si>
  <si>
    <t>https://leetcode.com/problems/majority-element/</t>
  </si>
  <si>
    <t>https://leetcode.com/problems/find-pivot-index/discuss/411318/Java%3A-beats100-1ms-easy-understanding-solution</t>
  </si>
  <si>
    <t>https://leetcode.com/problems/find-pivot-index/</t>
  </si>
  <si>
    <t>https://leetcode.com/problems/running-sum-of-1d-array/discuss/686261/JavaC%2B%2BPython-Array-Time-O(N)-Space-O(1)</t>
  </si>
  <si>
    <t>https://leetcode.com/problems/running-sum-of-1d-array/</t>
  </si>
  <si>
    <t>https://www.youtube.com/watch?v=3gtcRtvDCpA</t>
  </si>
  <si>
    <t>https://leetcode.com/problems/best-time-to-buy-and-sell-stock-ii/</t>
  </si>
  <si>
    <t>https://www.youtube.com/watch?v=mgzcjQ1x9Mw</t>
  </si>
  <si>
    <t>https://leetcode.com/problems/move-zeroes/</t>
  </si>
  <si>
    <t>https://www.youtube.com/watch?v=FyzWXlSMNoI</t>
  </si>
  <si>
    <t>https://leetcode.com/problems/plus-one/</t>
  </si>
  <si>
    <t>https://www.youtube.com/watch?v=XIWykOHE1SE</t>
  </si>
  <si>
    <t>https://leetcode.com/problems/best-time-to-buy-and-sell-stock/</t>
  </si>
  <si>
    <t>https://www.youtube.com/watch?v=o2WOhGSfx_8</t>
  </si>
  <si>
    <t>https://leetcode.com/problems/two-sum/</t>
  </si>
  <si>
    <t xml:space="preserve">Editorials </t>
  </si>
  <si>
    <t>Arrays</t>
  </si>
  <si>
    <r>
      <t xml:space="preserve">Top Down Approach will lead to TLE on GFG . Same Questions is on Leetcode is Wiggle Subsequence
which will be accepted on Leetcode by Top Down Appraoch. (Try to Solve Bottom UP).     
Similar Question:- </t>
    </r>
    <r>
      <rPr>
        <b/>
        <sz val="14"/>
        <color rgb="FF0070C0"/>
        <rFont val="Calibri"/>
        <family val="2"/>
        <scheme val="minor"/>
      </rPr>
      <t>Max Alternating Subsequence Sum (Leetcode 1911)</t>
    </r>
  </si>
  <si>
    <t xml:space="preserve">Largest subarray with 0 sum  </t>
  </si>
  <si>
    <t>We will first assume that the longest consecutive Sequence starts at the particular index i in the first Iteration. Now in the secondniteration if we manange to find (nums[i]-1) then the longest consecutive sequence will not start with (nums[i]). After the second  iteration whichever elements in hashmap remains true, it indicates that a consecutive sequence will start from that number.</t>
  </si>
  <si>
    <t>Shortest Unique prefix</t>
  </si>
  <si>
    <t>No prefix set</t>
  </si>
  <si>
    <t>Kth smallest in lexicographical order</t>
  </si>
  <si>
    <t>Search Suggestions System</t>
  </si>
  <si>
    <t>maximum XOR of two numbers in an array</t>
  </si>
  <si>
    <t>Implement Trie prefix tree</t>
  </si>
  <si>
    <t>Day 65</t>
  </si>
  <si>
    <t>Tries</t>
  </si>
  <si>
    <t>Max Xor In a range [L,R]</t>
  </si>
  <si>
    <t>Minimum Xor Value</t>
  </si>
  <si>
    <t>Divide Integers</t>
  </si>
  <si>
    <t>Bitwise ORs of subarrays</t>
  </si>
  <si>
    <t>Single Number II</t>
  </si>
  <si>
    <t>Subsequence of string (using Bit Manipulation)</t>
  </si>
  <si>
    <t>Day 64</t>
  </si>
  <si>
    <t>Reverse Bits</t>
  </si>
  <si>
    <t>Day 63</t>
  </si>
  <si>
    <t>Bit Manipulation</t>
  </si>
  <si>
    <t>Unbounded knapsack</t>
  </si>
  <si>
    <t>Coin change 2</t>
  </si>
  <si>
    <t xml:space="preserve">Coin change </t>
  </si>
  <si>
    <t>Tri tiling</t>
  </si>
  <si>
    <t>Day 62</t>
  </si>
  <si>
    <t>Shortest Palindrome</t>
  </si>
  <si>
    <t>Rabin Karp</t>
  </si>
  <si>
    <t>Day 61</t>
  </si>
  <si>
    <t>String Algorithm</t>
  </si>
  <si>
    <t>Dungeon game</t>
  </si>
  <si>
    <t>Friends pairing problem</t>
  </si>
  <si>
    <t>Jump game 2</t>
  </si>
  <si>
    <t>Frog jump</t>
  </si>
  <si>
    <t>Longest common substring</t>
  </si>
  <si>
    <t>Day 60</t>
  </si>
  <si>
    <t>Shortest common superseq</t>
  </si>
  <si>
    <t>Distinct subsequences</t>
  </si>
  <si>
    <t>Number of digit 1</t>
  </si>
  <si>
    <t>Say no to palindrome</t>
  </si>
  <si>
    <t>Max sum subarray with atleast k elements</t>
  </si>
  <si>
    <t>Optimal BST</t>
  </si>
  <si>
    <t>Day 59</t>
  </si>
  <si>
    <t>Longest repeating subsequence</t>
  </si>
  <si>
    <t>Word break problem</t>
  </si>
  <si>
    <t>Knights probability in chessboard</t>
  </si>
  <si>
    <t>Longest Bitonic subsequence</t>
  </si>
  <si>
    <t>Palindrome partitioning</t>
  </si>
  <si>
    <t>Regular Expression Matching</t>
  </si>
  <si>
    <t>Day 58</t>
  </si>
  <si>
    <t>Wildcard pattern matching</t>
  </si>
  <si>
    <t>max size subsquare with all 1</t>
  </si>
  <si>
    <t>Ugly number</t>
  </si>
  <si>
    <t>Optimal strategy for a game</t>
  </si>
  <si>
    <t>egg drop</t>
  </si>
  <si>
    <t>2 egg 100 floor</t>
  </si>
  <si>
    <t>Edit distance</t>
  </si>
  <si>
    <t>Day 57</t>
  </si>
  <si>
    <t>COunt of distinct subsequences</t>
  </si>
  <si>
    <t>Palindromic substrings</t>
  </si>
  <si>
    <t>Longest pallinddromic subsequence</t>
  </si>
  <si>
    <t>LCS triplet</t>
  </si>
  <si>
    <t>Longest common subsequence</t>
  </si>
  <si>
    <t>Day 56</t>
  </si>
  <si>
    <t>Binomial coefficient</t>
  </si>
  <si>
    <t>Min and max val of expression</t>
  </si>
  <si>
    <t>boolean parenthesization</t>
  </si>
  <si>
    <t>Matrix chain multiplication</t>
  </si>
  <si>
    <t>Day 55</t>
  </si>
  <si>
    <t>Highway billboard problem</t>
  </si>
  <si>
    <t>buy and sell with transaction fee</t>
  </si>
  <si>
    <t>Cherry pickup 2</t>
  </si>
  <si>
    <t>Day 54</t>
  </si>
  <si>
    <t>Cherry pickup</t>
  </si>
  <si>
    <t>Min cost path</t>
  </si>
  <si>
    <t>Applications of Catalan numbers</t>
  </si>
  <si>
    <t>Total no. of bst</t>
  </si>
  <si>
    <t>Catalan number</t>
  </si>
  <si>
    <t>Possible ways to construct the building</t>
  </si>
  <si>
    <t>No. of binary string without consecutive 1</t>
  </si>
  <si>
    <t>Paint house 2</t>
  </si>
  <si>
    <t>Paint house</t>
  </si>
  <si>
    <t>Paint fence</t>
  </si>
  <si>
    <t>Day 53</t>
  </si>
  <si>
    <t>minimum number of increasing subsequence</t>
  </si>
  <si>
    <t>weighted Job scheduling</t>
  </si>
  <si>
    <t>Box stacking</t>
  </si>
  <si>
    <t>building bridges</t>
  </si>
  <si>
    <t>longest increasing subsequence</t>
  </si>
  <si>
    <t>Day 52</t>
  </si>
  <si>
    <t xml:space="preserve">Dynamic Programming </t>
  </si>
  <si>
    <t>Day 51</t>
  </si>
  <si>
    <t>Print all permutations of a string</t>
  </si>
  <si>
    <t>Combinational Sum</t>
  </si>
  <si>
    <t>Day 50</t>
  </si>
  <si>
    <t>Subset Sum Problem</t>
  </si>
  <si>
    <t>Print all palindromic partitions of a string</t>
  </si>
  <si>
    <t>Day 49</t>
  </si>
  <si>
    <t>Day 48</t>
  </si>
  <si>
    <t>Backtracking</t>
  </si>
  <si>
    <t>Day 47</t>
  </si>
  <si>
    <t>Day 46</t>
  </si>
  <si>
    <t>Day 45</t>
  </si>
  <si>
    <t>Day 44</t>
  </si>
  <si>
    <t>Day 43</t>
  </si>
  <si>
    <t>Greedy</t>
  </si>
  <si>
    <t>Line reflection</t>
  </si>
  <si>
    <t>Mode of frequencies</t>
  </si>
  <si>
    <t>Day 42</t>
  </si>
  <si>
    <t>Find Anagram Mapping</t>
  </si>
  <si>
    <t>Day 41</t>
  </si>
  <si>
    <t>Trapping Rain Water II</t>
  </si>
  <si>
    <t>Day 40</t>
  </si>
  <si>
    <t>Day 39</t>
  </si>
  <si>
    <t>The skyline problem</t>
  </si>
  <si>
    <t>Day 38</t>
  </si>
  <si>
    <t>Potions(hard version)</t>
  </si>
  <si>
    <t>Day 37</t>
  </si>
  <si>
    <t>Same differences</t>
  </si>
  <si>
    <t>Day 36</t>
  </si>
  <si>
    <t xml:space="preserve">HashMap and Heap </t>
  </si>
  <si>
    <t>Johnson's algorithm</t>
  </si>
  <si>
    <t>Floyd Warshall</t>
  </si>
  <si>
    <t>Shortest cycle in an undirected graph</t>
  </si>
  <si>
    <t>Find evantual safe state</t>
  </si>
  <si>
    <t>crackng the safe</t>
  </si>
  <si>
    <t>cheapest flight within k stops</t>
  </si>
  <si>
    <t>Smallest strings with swaps</t>
  </si>
  <si>
    <t>graph connectivity with threshold</t>
  </si>
  <si>
    <t>Day 35</t>
  </si>
  <si>
    <t>remove max number of edges to keep graph traversal</t>
  </si>
  <si>
    <t>Shortest distance from all buildings</t>
  </si>
  <si>
    <t>Swim in rising water</t>
  </si>
  <si>
    <t>Largest color value in a directed graph</t>
  </si>
  <si>
    <t>Alien Dictionary</t>
  </si>
  <si>
    <t>Bricks Falling when hit</t>
  </si>
  <si>
    <t>min swaps to make 2 array identical</t>
  </si>
  <si>
    <t>Day 34</t>
  </si>
  <si>
    <t>Maximum Bipartite Matching</t>
  </si>
  <si>
    <t>Find the Maximum Flow</t>
  </si>
  <si>
    <t>Most Stones Removed with Same Row or Column</t>
  </si>
  <si>
    <t>Day 33</t>
  </si>
  <si>
    <t>Reconstruct Itinerary</t>
  </si>
  <si>
    <t>Job Sequencing</t>
  </si>
  <si>
    <t>Minimize Malware Spread</t>
  </si>
  <si>
    <t>Castle RUN</t>
  </si>
  <si>
    <t>Day 32</t>
  </si>
  <si>
    <t>Redundant Connection</t>
  </si>
  <si>
    <t>Satisfiability of Equality Equations</t>
  </si>
  <si>
    <t>Sentence Similarity II</t>
  </si>
  <si>
    <t>Regions Cut By Slashes</t>
  </si>
  <si>
    <t>Number of Islands II</t>
  </si>
  <si>
    <t>DFS vs DSU</t>
  </si>
  <si>
    <t>DSU</t>
  </si>
  <si>
    <t>Day 31</t>
  </si>
  <si>
    <t>Euler Circuit in a Directed Graph</t>
  </si>
  <si>
    <t>Eulerian Path in an Undirected Graph</t>
  </si>
  <si>
    <t>Doctor Strange</t>
  </si>
  <si>
    <t>Rotting Oranges</t>
  </si>
  <si>
    <t>Coloring A Border</t>
  </si>
  <si>
    <t>Day 30</t>
  </si>
  <si>
    <t>Sliding Puzzle</t>
  </si>
  <si>
    <t>As far from land as possible</t>
  </si>
  <si>
    <t>Word Ladder</t>
  </si>
  <si>
    <t>Day 29</t>
  </si>
  <si>
    <t>Number of Distinct Islands</t>
  </si>
  <si>
    <t>Number of Islands</t>
  </si>
  <si>
    <t>Number of Enclaves</t>
  </si>
  <si>
    <t>Mother Vertex</t>
  </si>
  <si>
    <t>Strongly Connected Components (Kosaraju's Algo)</t>
  </si>
  <si>
    <t>optimize water distribution in village</t>
  </si>
  <si>
    <t>Day 28</t>
  </si>
  <si>
    <t>connecting cities with minimum cost</t>
  </si>
  <si>
    <t>BFS of graph</t>
  </si>
  <si>
    <t>Day 27</t>
  </si>
  <si>
    <t xml:space="preserve">Graph </t>
  </si>
  <si>
    <t>Segment tree</t>
  </si>
  <si>
    <t>LCA in O(root h)</t>
  </si>
  <si>
    <t>Sum root to leaf</t>
  </si>
  <si>
    <t>Closest binary search tree value 2</t>
  </si>
  <si>
    <t>closest binary search tree</t>
  </si>
  <si>
    <t>Count complete tree node</t>
  </si>
  <si>
    <t>Day 26</t>
  </si>
  <si>
    <t>Longest zigzag path in binary tree</t>
  </si>
  <si>
    <t>Fenwick tree</t>
  </si>
  <si>
    <t>Construct from pre and post</t>
  </si>
  <si>
    <t>BST from preorder</t>
  </si>
  <si>
    <t>BST from Postorder</t>
  </si>
  <si>
    <t>isBstPreorder</t>
  </si>
  <si>
    <t>Day 25</t>
  </si>
  <si>
    <t>Delete node in bst</t>
  </si>
  <si>
    <t>Day 24</t>
  </si>
  <si>
    <t>Recover binary search tree</t>
  </si>
  <si>
    <t>Max path sum</t>
  </si>
  <si>
    <t>Day 23</t>
  </si>
  <si>
    <t>Max product splitted binary tree</t>
  </si>
  <si>
    <t>inorder succesor</t>
  </si>
  <si>
    <t>Day 22</t>
  </si>
  <si>
    <t>Binary tree coloring game</t>
  </si>
  <si>
    <t>Boundary Traversal</t>
  </si>
  <si>
    <t>reverse level order</t>
  </si>
  <si>
    <t>Day 21</t>
  </si>
  <si>
    <t>Sum of distances in tree</t>
  </si>
  <si>
    <t>Next right pointer in each node</t>
  </si>
  <si>
    <t>Day 20</t>
  </si>
  <si>
    <t>Tree</t>
  </si>
  <si>
    <t>Min cost tree from leaf values</t>
  </si>
  <si>
    <t>ADAPTERS</t>
  </si>
  <si>
    <t>Day 19</t>
  </si>
  <si>
    <t>Remove duplicate letters</t>
  </si>
  <si>
    <t>K queue</t>
  </si>
  <si>
    <t>Day 18</t>
  </si>
  <si>
    <t>Longest Unbalanced Subsequence</t>
  </si>
  <si>
    <t>Day 17</t>
  </si>
  <si>
    <t>Day 16</t>
  </si>
  <si>
    <t>Stacks And Queue</t>
  </si>
  <si>
    <t>Day 15</t>
  </si>
  <si>
    <t>Intersection point of 2 linked list</t>
  </si>
  <si>
    <t>Day 14</t>
  </si>
  <si>
    <t>Split circular Linkedlist</t>
  </si>
  <si>
    <t>Reverse a Linked List in group of Given Size.</t>
  </si>
  <si>
    <t>Day 13</t>
  </si>
  <si>
    <t xml:space="preserve">Linked List </t>
  </si>
  <si>
    <t>find min in rotated sorted array 2</t>
  </si>
  <si>
    <t>Find Minimum in rotated sorted array</t>
  </si>
  <si>
    <t>Search in rotated sorted array 2</t>
  </si>
  <si>
    <t>Median from data stream</t>
  </si>
  <si>
    <t>Day 12</t>
  </si>
  <si>
    <t>Painter's partition problem</t>
  </si>
  <si>
    <t>Binary search</t>
  </si>
  <si>
    <t>Day 11</t>
  </si>
  <si>
    <t xml:space="preserve">Sorting and Searching </t>
  </si>
  <si>
    <t>Day 10</t>
  </si>
  <si>
    <t>Day 9</t>
  </si>
  <si>
    <t>Matrix</t>
  </si>
  <si>
    <t>Container With Most Water</t>
  </si>
  <si>
    <t>Orderly Queue</t>
  </si>
  <si>
    <t>Range Addition</t>
  </si>
  <si>
    <t>Long Pressed Name</t>
  </si>
  <si>
    <t>Day 8</t>
  </si>
  <si>
    <t>Range Related question</t>
  </si>
  <si>
    <t>Sort the array</t>
  </si>
  <si>
    <t>Interesting subarrays</t>
  </si>
  <si>
    <t>Bulb switcher 3</t>
  </si>
  <si>
    <t>maximize distance to closest person</t>
  </si>
  <si>
    <t>Day 7</t>
  </si>
  <si>
    <t>Find the "Kth" max and min element of an array</t>
  </si>
  <si>
    <t>Sum of subsequence width</t>
  </si>
  <si>
    <t>Day 6</t>
  </si>
  <si>
    <t>Boats to Save People</t>
  </si>
  <si>
    <t>Day 5</t>
  </si>
  <si>
    <t>Maximum Swap</t>
  </si>
  <si>
    <t>wiggle sort</t>
  </si>
  <si>
    <t>Fibonacci Number</t>
  </si>
  <si>
    <t>Fast Exponentiation</t>
  </si>
  <si>
    <t>K_LCM 2</t>
  </si>
  <si>
    <t>K_LCM 1</t>
  </si>
  <si>
    <t>Meximization</t>
  </si>
  <si>
    <t>Day 4</t>
  </si>
  <si>
    <t>Sort Array By Parity</t>
  </si>
  <si>
    <t>Segregate 0-1-2</t>
  </si>
  <si>
    <t>Day 3</t>
  </si>
  <si>
    <t>Product of Array Except Self</t>
  </si>
  <si>
    <t>Max Chunks To Make Sorted II</t>
  </si>
  <si>
    <t>Day 2</t>
  </si>
  <si>
    <t>Next Greater Element III</t>
  </si>
  <si>
    <t>Napoleon cake</t>
  </si>
  <si>
    <t>Relatively prime</t>
  </si>
  <si>
    <t>Rotate Array</t>
  </si>
  <si>
    <t>Squares of a sorted array</t>
  </si>
  <si>
    <t>Day 1</t>
  </si>
  <si>
    <t xml:space="preserve">Array &amp;String </t>
  </si>
  <si>
    <t xml:space="preserve"> Use the two Pointer technique as the array given to us is sorted. (st=0 &amp;&amp; end=(n-1))</t>
  </si>
  <si>
    <r>
      <rPr>
        <u/>
        <sz val="11"/>
        <rFont val="Calibri, Arial"/>
      </rPr>
      <t>Check whether one string is a rotation of another</t>
    </r>
  </si>
  <si>
    <t>Hamming Distance(Imp.)</t>
  </si>
  <si>
    <t>Sort Tranformed Array (Leetcode 360)</t>
  </si>
  <si>
    <t>Concepts Of Quadratic Equation and
Parabola</t>
  </si>
  <si>
    <t>The two consecutive Elements will always be co-prime in nature.</t>
  </si>
  <si>
    <t xml:space="preserve"> It’s a cyclic process and the array will be restored to the original array at every multiple of the size of the array. </t>
  </si>
  <si>
    <t>Leetcode_845_Longest Mountain Array</t>
  </si>
  <si>
    <t>First of all check wheather it is possible to form next greater element from the given number. It the 
number given is largest number formed by permuting the digits then it is not possible to form next 
greater number.   
Link:- https://www.geeksforgeeks.org/find-next-greater-number-set-digits/</t>
  </si>
  <si>
    <t>Leetcode_312_Burst_Ballon</t>
  </si>
  <si>
    <t>Variation Of Matrx Chain Multiplication.</t>
  </si>
  <si>
    <t>(Using HashMap and Without HashMap)   (Without Hashmap:- Insert the new node at the middle of 
of every two node).</t>
  </si>
  <si>
    <t>Floyed Cycle Detection Algorithm.</t>
  </si>
  <si>
    <t>Leetcode_2203_Minimum_Weighted_Subgraph_With Required Path</t>
  </si>
  <si>
    <t>Dijkastra + Lowest Common Ancestor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</si>
</sst>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numFmt numFmtId="165" formatCode="d\ mmmm\ yyyy"/>
    <numFmt numFmtId="166" formatCode="d\ mmmm"/>
    <numFmt numFmtId="167" formatCode="d\ mmm\ yyyy"/>
  </numFmts>
  <fonts count="89">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b/>
      <sz val="15"/>
      <color rgb="FF000000"/>
      <name val="Calibri"/>
      <family val="2"/>
      <scheme val="minor"/>
    </font>
    <font>
      <sz val="16"/>
      <color theme="1"/>
      <name val="Calibri"/>
      <family val="2"/>
      <scheme val="minor"/>
    </font>
    <font>
      <b/>
      <sz val="15"/>
      <color theme="1"/>
      <name val="Calibri"/>
      <family val="2"/>
      <scheme val="minor"/>
    </font>
    <font>
      <b/>
      <u/>
      <sz val="15"/>
      <color theme="1"/>
      <name val="Calibri"/>
      <family val="2"/>
      <scheme val="minor"/>
    </font>
    <font>
      <sz val="15"/>
      <color theme="1"/>
      <name val="Calibri"/>
      <family val="2"/>
      <scheme val="minor"/>
    </font>
    <font>
      <b/>
      <u/>
      <sz val="14"/>
      <color theme="1"/>
      <name val="Calibri"/>
      <family val="2"/>
      <scheme val="minor"/>
    </font>
    <font>
      <sz val="14"/>
      <name val="Segoe UI"/>
      <family val="2"/>
    </font>
    <font>
      <sz val="14"/>
      <color theme="1"/>
      <name val="Calibri"/>
      <family val="2"/>
      <scheme val="minor"/>
    </font>
    <font>
      <sz val="14"/>
      <name val="Arial"/>
      <family val="2"/>
    </font>
    <font>
      <b/>
      <sz val="14"/>
      <name val="Arial"/>
      <family val="2"/>
    </font>
    <font>
      <u/>
      <sz val="14"/>
      <name val="Calibri"/>
      <family val="2"/>
      <scheme val="minor"/>
    </font>
    <font>
      <sz val="14"/>
      <name val="Calibri"/>
      <family val="2"/>
      <scheme val="minor"/>
    </font>
    <font>
      <b/>
      <sz val="16"/>
      <color theme="1"/>
      <name val="Calibri"/>
      <family val="2"/>
      <scheme val="minor"/>
    </font>
    <font>
      <b/>
      <sz val="16"/>
      <color theme="8"/>
      <name val="Calibri"/>
      <family val="2"/>
      <scheme val="minor"/>
    </font>
    <font>
      <b/>
      <sz val="12"/>
      <color theme="1"/>
      <name val="Calibri"/>
      <family val="2"/>
      <scheme val="minor"/>
    </font>
    <font>
      <u/>
      <sz val="12"/>
      <name val="Calibri"/>
      <family val="2"/>
      <scheme val="minor"/>
    </font>
    <font>
      <b/>
      <sz val="14"/>
      <name val="Calibri (Body)"/>
    </font>
    <font>
      <b/>
      <sz val="14"/>
      <name val="Calibri"/>
      <family val="2"/>
      <scheme val="minor"/>
    </font>
    <font>
      <b/>
      <u/>
      <sz val="14"/>
      <name val="Calibri"/>
      <family val="2"/>
      <scheme val="minor"/>
    </font>
    <font>
      <sz val="12"/>
      <name val="Segoe UI"/>
      <family val="2"/>
    </font>
    <font>
      <sz val="16"/>
      <name val="Calibri"/>
      <family val="2"/>
      <scheme val="minor"/>
    </font>
    <font>
      <b/>
      <sz val="16"/>
      <name val="Calibri"/>
      <family val="2"/>
      <scheme val="minor"/>
    </font>
    <font>
      <b/>
      <sz val="12"/>
      <color rgb="FFC00000"/>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
      <b/>
      <sz val="12"/>
      <color rgb="FFFF0000"/>
      <name val="Calibri"/>
      <family val="2"/>
      <scheme val="minor"/>
    </font>
    <font>
      <u/>
      <sz val="11"/>
      <name val="Calibri"/>
      <family val="2"/>
      <scheme val="minor"/>
    </font>
    <font>
      <u/>
      <sz val="12"/>
      <color theme="1"/>
      <name val="Calibri"/>
      <family val="2"/>
      <scheme val="minor"/>
    </font>
    <font>
      <sz val="11"/>
      <name val="Calibri"/>
      <family val="2"/>
      <scheme val="minor"/>
    </font>
    <font>
      <b/>
      <sz val="11"/>
      <color rgb="FFFF0000"/>
      <name val="Calibri"/>
      <family val="2"/>
      <scheme val="minor"/>
    </font>
    <font>
      <b/>
      <sz val="11"/>
      <name val="Segoe UI"/>
      <family val="2"/>
    </font>
    <font>
      <sz val="11"/>
      <name val="Segoe UI"/>
      <family val="2"/>
    </font>
    <font>
      <sz val="18"/>
      <color rgb="FFFF0000"/>
      <name val="Calibri"/>
      <family val="2"/>
      <scheme val="minor"/>
    </font>
    <font>
      <b/>
      <sz val="18"/>
      <color rgb="FFFF0000"/>
      <name val="Calibri"/>
      <family val="2"/>
      <scheme val="minor"/>
    </font>
    <font>
      <b/>
      <sz val="16"/>
      <color rgb="FFFF0000"/>
      <name val="Calibri"/>
      <family val="2"/>
      <scheme val="minor"/>
    </font>
    <font>
      <b/>
      <sz val="14"/>
      <color rgb="FFFF0000"/>
      <name val="Calibri"/>
      <family val="2"/>
      <scheme val="minor"/>
    </font>
    <font>
      <sz val="10"/>
      <color rgb="FF000000"/>
      <name val="Arial"/>
    </font>
    <font>
      <u/>
      <sz val="10"/>
      <color rgb="FF1155CC"/>
      <name val="Arial"/>
    </font>
    <font>
      <b/>
      <sz val="10"/>
      <color theme="1"/>
      <name val="Arial"/>
    </font>
    <font>
      <u/>
      <sz val="10"/>
      <color rgb="FF0000FF"/>
      <name val="Arial"/>
    </font>
    <font>
      <b/>
      <sz val="10"/>
      <color rgb="FF000000"/>
      <name val="Arial"/>
    </font>
    <font>
      <sz val="10"/>
      <color theme="1"/>
      <name val="Arial"/>
    </font>
    <font>
      <u/>
      <sz val="10"/>
      <color rgb="FF000000"/>
      <name val="Arial"/>
    </font>
    <font>
      <b/>
      <u/>
      <sz val="10"/>
      <color rgb="FF0000FF"/>
      <name val="Arial"/>
    </font>
    <font>
      <b/>
      <sz val="14"/>
      <color rgb="FF0070C0"/>
      <name val="Calibri"/>
      <family val="2"/>
      <scheme val="minor"/>
    </font>
    <font>
      <u/>
      <sz val="10"/>
      <color rgb="FF1155CC"/>
      <name val="Arial"/>
      <family val="2"/>
    </font>
    <font>
      <sz val="10"/>
      <color theme="1"/>
      <name val="Arial"/>
      <family val="2"/>
    </font>
    <font>
      <u/>
      <sz val="11"/>
      <color rgb="FF1155CC"/>
      <name val="Arial"/>
      <family val="2"/>
    </font>
    <font>
      <sz val="11"/>
      <color rgb="FF0563C1"/>
      <name val="Arial"/>
      <family val="2"/>
    </font>
    <font>
      <u/>
      <sz val="11"/>
      <color rgb="FF0563C1"/>
      <name val="Calibri"/>
      <family val="2"/>
    </font>
    <font>
      <u/>
      <sz val="16"/>
      <color rgb="FF0563C1"/>
      <name val="Calibri"/>
      <family val="2"/>
    </font>
    <font>
      <u/>
      <sz val="11"/>
      <color rgb="FF0563C1"/>
      <name val="Arial"/>
      <family val="2"/>
    </font>
    <font>
      <b/>
      <sz val="36"/>
      <color rgb="FFFFFFFF"/>
      <name val="Arial"/>
      <family val="2"/>
    </font>
    <font>
      <u/>
      <sz val="12"/>
      <color rgb="FF0B4CB4"/>
      <name val="Calibri"/>
      <family val="2"/>
    </font>
    <font>
      <b/>
      <sz val="24"/>
      <color rgb="FFFFFFFF"/>
      <name val="Arial"/>
      <family val="2"/>
    </font>
    <font>
      <sz val="11"/>
      <color theme="1"/>
      <name val="Arial"/>
      <family val="2"/>
    </font>
    <font>
      <sz val="11"/>
      <color rgb="FF000000"/>
      <name val="Calibri"/>
      <family val="2"/>
    </font>
    <font>
      <sz val="11"/>
      <color theme="1"/>
      <name val="Calibri"/>
      <family val="2"/>
    </font>
    <font>
      <u/>
      <sz val="11"/>
      <color rgb="FF0B4CB4"/>
      <name val="Calibri"/>
      <family val="2"/>
    </font>
    <font>
      <sz val="11"/>
      <color rgb="FF0B4CB4"/>
      <name val="Calibri"/>
      <family val="2"/>
    </font>
    <font>
      <sz val="11"/>
      <color rgb="FF000000"/>
      <name val="Docs-Calibri"/>
    </font>
    <font>
      <sz val="10"/>
      <name val="Arial"/>
      <family val="2"/>
    </font>
    <font>
      <b/>
      <sz val="18"/>
      <color rgb="FFFFFFFF"/>
      <name val="Arial"/>
      <family val="2"/>
    </font>
    <font>
      <b/>
      <sz val="32"/>
      <color rgb="FFFFFFFF"/>
      <name val="Arial"/>
      <family val="2"/>
    </font>
    <font>
      <b/>
      <sz val="18"/>
      <name val="Arial"/>
      <family val="2"/>
    </font>
    <font>
      <b/>
      <sz val="14"/>
      <name val="Calibri"/>
      <family val="2"/>
    </font>
    <font>
      <b/>
      <sz val="11"/>
      <name val="Calibri"/>
      <family val="2"/>
    </font>
    <font>
      <u/>
      <sz val="11"/>
      <name val="Arial"/>
      <family val="2"/>
    </font>
    <font>
      <u/>
      <sz val="11"/>
      <name val="Calibri"/>
      <family val="2"/>
    </font>
    <font>
      <u/>
      <sz val="11"/>
      <name val="Calibri, Arial"/>
    </font>
    <font>
      <b/>
      <u/>
      <sz val="11"/>
      <name val="Calibri"/>
      <family val="2"/>
    </font>
    <font>
      <sz val="11"/>
      <name val="Calibri"/>
      <family val="2"/>
    </font>
    <font>
      <b/>
      <i/>
      <sz val="11"/>
      <name val="Calibri"/>
      <family val="2"/>
    </font>
    <font>
      <u/>
      <sz val="12"/>
      <name val="Calibri"/>
      <family val="2"/>
    </font>
    <font>
      <u/>
      <sz val="10"/>
      <name val="Arial"/>
      <family val="2"/>
    </font>
    <font>
      <sz val="11"/>
      <name val="Arial"/>
      <family val="2"/>
    </font>
    <font>
      <b/>
      <u/>
      <sz val="14"/>
      <name val="Calibri"/>
      <family val="2"/>
    </font>
    <font>
      <i/>
      <u/>
      <sz val="11"/>
      <name val="Calibri"/>
      <family val="2"/>
    </font>
    <font>
      <b/>
      <u/>
      <sz val="11"/>
      <name val="Arial"/>
      <family val="2"/>
    </font>
    <font>
      <b/>
      <u/>
      <sz val="14"/>
      <name val="Arial"/>
      <family val="2"/>
    </font>
    <font>
      <b/>
      <sz val="15"/>
      <name val="Calibri"/>
      <family val="2"/>
    </font>
    <font>
      <b/>
      <sz val="11"/>
      <name val="Arial"/>
      <family val="2"/>
    </font>
  </fonts>
  <fills count="11">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theme="5"/>
        <bgColor indexed="64"/>
      </patternFill>
    </fill>
    <fill>
      <patternFill patternType="solid">
        <fgColor theme="4"/>
        <bgColor indexed="64"/>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0" fontId="4" fillId="0" borderId="0" applyNumberFormat="0" applyFill="0" applyBorder="0" applyAlignment="0" applyProtection="0"/>
    <xf numFmtId="0" fontId="3" fillId="0" borderId="0"/>
    <xf numFmtId="0" fontId="30" fillId="0" borderId="0" applyNumberFormat="0" applyFill="0" applyBorder="0" applyAlignment="0" applyProtection="0"/>
    <xf numFmtId="0" fontId="43" fillId="0" borderId="0"/>
  </cellStyleXfs>
  <cellXfs count="164">
    <xf numFmtId="0" fontId="0" fillId="0" borderId="0" xfId="0"/>
    <xf numFmtId="0" fontId="0" fillId="0" borderId="0" xfId="0" applyAlignment="1">
      <alignment horizontal="center"/>
    </xf>
    <xf numFmtId="0" fontId="5" fillId="0" borderId="0" xfId="0" applyFont="1" applyAlignment="1">
      <alignment horizontal="center"/>
    </xf>
    <xf numFmtId="0" fontId="6" fillId="0" borderId="0" xfId="0" applyFont="1"/>
    <xf numFmtId="0" fontId="7" fillId="0" borderId="0" xfId="0" applyFont="1" applyAlignment="1">
      <alignment horizontal="center"/>
    </xf>
    <xf numFmtId="0" fontId="8" fillId="0" borderId="0" xfId="0" applyFont="1" applyAlignment="1">
      <alignment horizontal="center"/>
    </xf>
    <xf numFmtId="0" fontId="8" fillId="0" borderId="0" xfId="0" applyFont="1"/>
    <xf numFmtId="0" fontId="9" fillId="0" borderId="0" xfId="0" applyFont="1"/>
    <xf numFmtId="0" fontId="9" fillId="0" borderId="0" xfId="0" applyFont="1" applyAlignment="1">
      <alignment horizontal="center"/>
    </xf>
    <xf numFmtId="0" fontId="10" fillId="0" borderId="0" xfId="0" applyFont="1"/>
    <xf numFmtId="0" fontId="11" fillId="0" borderId="0" xfId="0" applyFont="1"/>
    <xf numFmtId="0" fontId="0" fillId="5" borderId="0" xfId="0" applyFill="1"/>
    <xf numFmtId="0" fontId="12" fillId="5" borderId="0" xfId="0" applyFont="1" applyFill="1"/>
    <xf numFmtId="0" fontId="5" fillId="5" borderId="0" xfId="0" applyFont="1" applyFill="1" applyAlignment="1">
      <alignment horizontal="center"/>
    </xf>
    <xf numFmtId="0" fontId="13" fillId="0" borderId="0" xfId="0" applyFont="1" applyAlignment="1">
      <alignment wrapText="1"/>
    </xf>
    <xf numFmtId="0" fontId="15" fillId="2" borderId="0" xfId="1" applyFont="1" applyFill="1"/>
    <xf numFmtId="0" fontId="15" fillId="0" borderId="0" xfId="1" applyFont="1"/>
    <xf numFmtId="0" fontId="15" fillId="3" borderId="0" xfId="1" applyFont="1" applyFill="1"/>
    <xf numFmtId="0" fontId="16" fillId="4" borderId="0" xfId="0" applyFont="1" applyFill="1"/>
    <xf numFmtId="0" fontId="15" fillId="6" borderId="0" xfId="1" applyFont="1" applyFill="1"/>
    <xf numFmtId="0" fontId="16" fillId="0" borderId="0" xfId="1" applyFont="1" applyAlignment="1">
      <alignment wrapText="1"/>
    </xf>
    <xf numFmtId="0" fontId="16" fillId="0" borderId="0" xfId="1" applyFont="1"/>
    <xf numFmtId="0" fontId="15" fillId="4" borderId="0" xfId="1" applyFont="1" applyFill="1"/>
    <xf numFmtId="0" fontId="0" fillId="0" borderId="0" xfId="0" applyAlignment="1">
      <alignment horizontal="center" wrapText="1"/>
    </xf>
    <xf numFmtId="0" fontId="15" fillId="0" borderId="0" xfId="1" applyFont="1" applyFill="1"/>
    <xf numFmtId="0" fontId="19" fillId="5" borderId="0" xfId="0" applyFont="1" applyFill="1"/>
    <xf numFmtId="0" fontId="20" fillId="2" borderId="0" xfId="1" applyFont="1" applyFill="1"/>
    <xf numFmtId="0" fontId="21" fillId="0" borderId="0" xfId="0" applyFont="1" applyAlignment="1">
      <alignment horizontal="center"/>
    </xf>
    <xf numFmtId="0" fontId="22" fillId="0" borderId="0" xfId="0" applyFont="1" applyAlignment="1">
      <alignment horizontal="center"/>
    </xf>
    <xf numFmtId="0" fontId="16" fillId="0" borderId="0" xfId="0" applyFont="1"/>
    <xf numFmtId="0" fontId="20" fillId="0" borderId="0" xfId="1" applyFont="1" applyAlignment="1">
      <alignment wrapText="1"/>
    </xf>
    <xf numFmtId="0" fontId="16" fillId="0" borderId="0" xfId="0" applyFont="1" applyAlignment="1">
      <alignment wrapText="1"/>
    </xf>
    <xf numFmtId="0" fontId="16" fillId="0" borderId="0" xfId="1" applyFont="1" applyAlignment="1">
      <alignment horizontal="left"/>
    </xf>
    <xf numFmtId="0" fontId="15" fillId="0" borderId="0" xfId="1" applyFont="1" applyAlignment="1">
      <alignment wrapText="1"/>
    </xf>
    <xf numFmtId="0" fontId="23" fillId="0" borderId="0" xfId="0" applyFont="1" applyAlignment="1">
      <alignment horizontal="center"/>
    </xf>
    <xf numFmtId="0" fontId="16" fillId="2" borderId="0" xfId="0" applyFont="1" applyFill="1"/>
    <xf numFmtId="0" fontId="16" fillId="6" borderId="0" xfId="0" applyFont="1" applyFill="1"/>
    <xf numFmtId="0" fontId="11" fillId="2" borderId="0" xfId="0" applyFont="1" applyFill="1" applyAlignment="1">
      <alignment vertical="center" wrapText="1"/>
    </xf>
    <xf numFmtId="0" fontId="15" fillId="0" borderId="0" xfId="1" applyFont="1" applyAlignment="1">
      <alignment horizontal="left"/>
    </xf>
    <xf numFmtId="0" fontId="20" fillId="6" borderId="0" xfId="1" applyFont="1" applyFill="1"/>
    <xf numFmtId="0" fontId="24" fillId="2" borderId="0" xfId="0" applyFont="1" applyFill="1" applyAlignment="1">
      <alignment vertical="center" wrapText="1"/>
    </xf>
    <xf numFmtId="0" fontId="24" fillId="6" borderId="0" xfId="0" applyFont="1" applyFill="1" applyAlignment="1">
      <alignment vertical="center" wrapText="1"/>
    </xf>
    <xf numFmtId="0" fontId="24" fillId="4" borderId="0" xfId="0" applyFont="1" applyFill="1" applyAlignment="1">
      <alignment vertical="center" wrapText="1"/>
    </xf>
    <xf numFmtId="0" fontId="16" fillId="6" borderId="0" xfId="0" applyFont="1" applyFill="1" applyAlignment="1">
      <alignment vertical="center" wrapText="1"/>
    </xf>
    <xf numFmtId="0" fontId="16" fillId="2" borderId="0" xfId="0" applyFont="1" applyFill="1" applyAlignment="1">
      <alignment vertical="center" wrapText="1"/>
    </xf>
    <xf numFmtId="0" fontId="27" fillId="0" borderId="0" xfId="0" applyFont="1"/>
    <xf numFmtId="0" fontId="3" fillId="0" borderId="0" xfId="2"/>
    <xf numFmtId="0" fontId="31" fillId="2" borderId="0" xfId="3" applyFont="1" applyFill="1"/>
    <xf numFmtId="0" fontId="33" fillId="0" borderId="0" xfId="3" applyFont="1" applyFill="1"/>
    <xf numFmtId="0" fontId="33" fillId="4" borderId="0" xfId="3" applyFont="1" applyFill="1"/>
    <xf numFmtId="0" fontId="33" fillId="2" borderId="0" xfId="3" applyFont="1" applyFill="1"/>
    <xf numFmtId="0" fontId="30" fillId="6" borderId="0" xfId="3" applyFill="1"/>
    <xf numFmtId="0" fontId="34" fillId="4" borderId="0" xfId="3" applyFont="1" applyFill="1"/>
    <xf numFmtId="0" fontId="34" fillId="6" borderId="0" xfId="3" applyFont="1" applyFill="1"/>
    <xf numFmtId="0" fontId="35" fillId="0" borderId="0" xfId="2" applyFont="1"/>
    <xf numFmtId="0" fontId="20" fillId="6" borderId="0" xfId="3" applyFont="1" applyFill="1"/>
    <xf numFmtId="0" fontId="20" fillId="2" borderId="0" xfId="3" applyFont="1" applyFill="1" applyBorder="1"/>
    <xf numFmtId="0" fontId="3" fillId="0" borderId="0" xfId="2" applyAlignment="1">
      <alignment wrapText="1"/>
    </xf>
    <xf numFmtId="0" fontId="33" fillId="6" borderId="0" xfId="3" applyFont="1" applyFill="1"/>
    <xf numFmtId="0" fontId="33" fillId="2" borderId="0" xfId="3" applyFont="1" applyFill="1" applyAlignment="1">
      <alignment wrapText="1"/>
    </xf>
    <xf numFmtId="0" fontId="30" fillId="0" borderId="0" xfId="3" applyFill="1"/>
    <xf numFmtId="0" fontId="3" fillId="7" borderId="0" xfId="2" applyFill="1"/>
    <xf numFmtId="0" fontId="20" fillId="4" borderId="0" xfId="3" applyFont="1" applyFill="1"/>
    <xf numFmtId="0" fontId="37" fillId="0" borderId="0" xfId="2" applyFont="1" applyAlignment="1">
      <alignment wrapText="1"/>
    </xf>
    <xf numFmtId="0" fontId="32" fillId="0" borderId="0" xfId="2" applyFont="1"/>
    <xf numFmtId="0" fontId="20" fillId="2" borderId="0" xfId="3" applyFont="1" applyFill="1"/>
    <xf numFmtId="0" fontId="33" fillId="0" borderId="0" xfId="3" applyFont="1" applyFill="1" applyAlignment="1">
      <alignment wrapText="1"/>
    </xf>
    <xf numFmtId="0" fontId="36" fillId="0" borderId="0" xfId="2" applyFont="1"/>
    <xf numFmtId="0" fontId="28" fillId="0" borderId="0" xfId="2" applyFont="1"/>
    <xf numFmtId="0" fontId="33" fillId="0" borderId="0" xfId="3" applyFont="1"/>
    <xf numFmtId="0" fontId="31" fillId="0" borderId="0" xfId="3" applyFont="1"/>
    <xf numFmtId="0" fontId="30" fillId="0" borderId="0" xfId="3"/>
    <xf numFmtId="0" fontId="31" fillId="4" borderId="0" xfId="3" applyFont="1" applyFill="1"/>
    <xf numFmtId="0" fontId="20" fillId="0" borderId="0" xfId="3" applyFont="1"/>
    <xf numFmtId="0" fontId="29" fillId="0" borderId="0" xfId="2" applyFont="1"/>
    <xf numFmtId="0" fontId="20" fillId="4" borderId="0" xfId="1" applyFont="1" applyFill="1"/>
    <xf numFmtId="0" fontId="2" fillId="0" borderId="0" xfId="2" applyFont="1" applyAlignment="1">
      <alignment wrapText="1"/>
    </xf>
    <xf numFmtId="0" fontId="43" fillId="0" borderId="0" xfId="4"/>
    <xf numFmtId="0" fontId="44" fillId="0" borderId="0" xfId="4" applyFont="1"/>
    <xf numFmtId="0" fontId="45" fillId="0" borderId="0" xfId="4" applyFont="1" applyAlignment="1">
      <alignment horizontal="center"/>
    </xf>
    <xf numFmtId="0" fontId="45" fillId="0" borderId="0" xfId="4" applyFont="1"/>
    <xf numFmtId="0" fontId="44" fillId="0" borderId="0" xfId="4" applyFont="1" applyAlignment="1">
      <alignment horizontal="left"/>
    </xf>
    <xf numFmtId="0" fontId="46" fillId="0" borderId="0" xfId="4" applyFont="1"/>
    <xf numFmtId="0" fontId="47" fillId="0" borderId="0" xfId="4" applyFont="1"/>
    <xf numFmtId="0" fontId="48" fillId="0" borderId="0" xfId="4" applyFont="1"/>
    <xf numFmtId="0" fontId="46" fillId="0" borderId="0" xfId="4" applyFont="1" applyAlignment="1">
      <alignment horizontal="left"/>
    </xf>
    <xf numFmtId="0" fontId="48" fillId="0" borderId="0" xfId="4" applyFont="1" applyAlignment="1">
      <alignment horizontal="left"/>
    </xf>
    <xf numFmtId="0" fontId="50" fillId="0" borderId="0" xfId="4" applyFont="1" applyAlignment="1">
      <alignment horizontal="center"/>
    </xf>
    <xf numFmtId="0" fontId="52" fillId="0" borderId="0" xfId="4" applyFont="1"/>
    <xf numFmtId="0" fontId="53" fillId="0" borderId="0" xfId="4" applyFont="1"/>
    <xf numFmtId="0" fontId="54" fillId="0" borderId="0" xfId="4" applyFont="1"/>
    <xf numFmtId="0" fontId="55" fillId="0" borderId="0" xfId="4" applyFont="1"/>
    <xf numFmtId="0" fontId="56" fillId="0" borderId="0" xfId="4" applyFont="1"/>
    <xf numFmtId="0" fontId="53" fillId="8" borderId="0" xfId="4" applyFont="1" applyFill="1"/>
    <xf numFmtId="0" fontId="57" fillId="8" borderId="0" xfId="4" applyFont="1" applyFill="1"/>
    <xf numFmtId="0" fontId="58" fillId="8" borderId="0" xfId="4" applyFont="1" applyFill="1"/>
    <xf numFmtId="0" fontId="59" fillId="8" borderId="0" xfId="4" applyFont="1" applyFill="1"/>
    <xf numFmtId="0" fontId="60" fillId="8" borderId="0" xfId="4" applyFont="1" applyFill="1"/>
    <xf numFmtId="0" fontId="53" fillId="9" borderId="0" xfId="4" applyFont="1" applyFill="1"/>
    <xf numFmtId="0" fontId="62" fillId="0" borderId="0" xfId="4" applyFont="1"/>
    <xf numFmtId="0" fontId="63" fillId="0" borderId="0" xfId="4" applyFont="1"/>
    <xf numFmtId="0" fontId="64" fillId="0" borderId="0" xfId="4" applyFont="1"/>
    <xf numFmtId="0" fontId="53" fillId="10" borderId="0" xfId="4" applyFont="1" applyFill="1"/>
    <xf numFmtId="0" fontId="65" fillId="8" borderId="0" xfId="4" applyFont="1" applyFill="1"/>
    <xf numFmtId="0" fontId="63" fillId="8" borderId="0" xfId="4" applyFont="1" applyFill="1"/>
    <xf numFmtId="0" fontId="66" fillId="8" borderId="0" xfId="4" applyFont="1" applyFill="1"/>
    <xf numFmtId="0" fontId="67" fillId="8" borderId="0" xfId="4" applyFont="1" applyFill="1"/>
    <xf numFmtId="0" fontId="68" fillId="8" borderId="0" xfId="4" applyFont="1" applyFill="1"/>
    <xf numFmtId="0" fontId="68" fillId="0" borderId="0" xfId="4" applyFont="1"/>
    <xf numFmtId="0" fontId="53" fillId="0" borderId="0" xfId="4" applyFont="1" applyFill="1"/>
    <xf numFmtId="0" fontId="70" fillId="0" borderId="2" xfId="4" applyFont="1" applyFill="1" applyBorder="1"/>
    <xf numFmtId="0" fontId="53" fillId="0" borderId="1" xfId="4" applyFont="1" applyFill="1" applyBorder="1"/>
    <xf numFmtId="0" fontId="43" fillId="0" borderId="0" xfId="4" applyFill="1"/>
    <xf numFmtId="0" fontId="69" fillId="0" borderId="0" xfId="4" applyFont="1" applyFill="1" applyAlignment="1">
      <alignment horizontal="right"/>
    </xf>
    <xf numFmtId="0" fontId="68" fillId="0" borderId="0" xfId="4" applyFont="1" applyFill="1"/>
    <xf numFmtId="0" fontId="71" fillId="0" borderId="0" xfId="4" applyFont="1" applyFill="1"/>
    <xf numFmtId="0" fontId="72" fillId="9" borderId="0" xfId="4" applyFont="1" applyFill="1"/>
    <xf numFmtId="0" fontId="73" fillId="0" borderId="0" xfId="4" applyFont="1" applyAlignment="1">
      <alignment horizontal="right"/>
    </xf>
    <xf numFmtId="0" fontId="74" fillId="2" borderId="0" xfId="4" applyFont="1" applyFill="1"/>
    <xf numFmtId="0" fontId="75" fillId="0" borderId="0" xfId="4" applyFont="1"/>
    <xf numFmtId="0" fontId="74" fillId="0" borderId="0" xfId="4" applyFont="1"/>
    <xf numFmtId="165" fontId="75" fillId="0" borderId="0" xfId="4" applyNumberFormat="1" applyFont="1"/>
    <xf numFmtId="0" fontId="75" fillId="8" borderId="0" xfId="4" applyFont="1" applyFill="1"/>
    <xf numFmtId="165" fontId="75" fillId="8" borderId="0" xfId="4" applyNumberFormat="1" applyFont="1" applyFill="1"/>
    <xf numFmtId="0" fontId="77" fillId="0" borderId="0" xfId="4" applyFont="1" applyAlignment="1">
      <alignment horizontal="right"/>
    </xf>
    <xf numFmtId="0" fontId="78" fillId="0" borderId="0" xfId="4" applyFont="1"/>
    <xf numFmtId="0" fontId="74" fillId="8" borderId="0" xfId="4" applyFont="1" applyFill="1"/>
    <xf numFmtId="165" fontId="74" fillId="0" borderId="0" xfId="4" applyNumberFormat="1" applyFont="1"/>
    <xf numFmtId="0" fontId="79" fillId="0" borderId="0" xfId="4" applyFont="1" applyAlignment="1">
      <alignment horizontal="right"/>
    </xf>
    <xf numFmtId="0" fontId="80" fillId="8" borderId="0" xfId="4" applyFont="1" applyFill="1"/>
    <xf numFmtId="165" fontId="80" fillId="8" borderId="0" xfId="4" applyNumberFormat="1" applyFont="1" applyFill="1"/>
    <xf numFmtId="165" fontId="81" fillId="8" borderId="0" xfId="4" applyNumberFormat="1" applyFont="1" applyFill="1"/>
    <xf numFmtId="0" fontId="81" fillId="8" borderId="0" xfId="4" applyFont="1" applyFill="1"/>
    <xf numFmtId="165" fontId="72" fillId="9" borderId="0" xfId="4" applyNumberFormat="1" applyFont="1" applyFill="1"/>
    <xf numFmtId="0" fontId="82" fillId="0" borderId="0" xfId="4" applyFont="1"/>
    <xf numFmtId="0" fontId="83" fillId="9" borderId="0" xfId="4" applyFont="1" applyFill="1"/>
    <xf numFmtId="167" fontId="75" fillId="0" borderId="0" xfId="4" applyNumberFormat="1" applyFont="1"/>
    <xf numFmtId="167" fontId="73" fillId="0" borderId="0" xfId="4" applyNumberFormat="1" applyFont="1" applyAlignment="1">
      <alignment horizontal="right"/>
    </xf>
    <xf numFmtId="164" fontId="75" fillId="0" borderId="0" xfId="4" applyNumberFormat="1" applyFont="1"/>
    <xf numFmtId="0" fontId="81" fillId="0" borderId="0" xfId="4" applyFont="1"/>
    <xf numFmtId="167" fontId="74" fillId="0" borderId="0" xfId="4" applyNumberFormat="1" applyFont="1"/>
    <xf numFmtId="166" fontId="75" fillId="0" borderId="0" xfId="4" applyNumberFormat="1" applyFont="1"/>
    <xf numFmtId="165" fontId="73" fillId="0" borderId="0" xfId="4" applyNumberFormat="1" applyFont="1" applyAlignment="1">
      <alignment horizontal="right"/>
    </xf>
    <xf numFmtId="0" fontId="84" fillId="0" borderId="0" xfId="4" applyFont="1"/>
    <xf numFmtId="0" fontId="75" fillId="8" borderId="1" xfId="4" applyFont="1" applyFill="1" applyBorder="1"/>
    <xf numFmtId="165" fontId="81" fillId="0" borderId="0" xfId="4" applyNumberFormat="1" applyFont="1"/>
    <xf numFmtId="0" fontId="85" fillId="10" borderId="0" xfId="4" applyFont="1" applyFill="1"/>
    <xf numFmtId="164" fontId="74" fillId="0" borderId="0" xfId="4" applyNumberFormat="1" applyFont="1"/>
    <xf numFmtId="0" fontId="85" fillId="0" borderId="0" xfId="4" applyFont="1"/>
    <xf numFmtId="0" fontId="86" fillId="9" borderId="0" xfId="4" applyFont="1" applyFill="1"/>
    <xf numFmtId="0" fontId="77" fillId="8" borderId="0" xfId="4" applyFont="1" applyFill="1" applyAlignment="1">
      <alignment horizontal="right"/>
    </xf>
    <xf numFmtId="0" fontId="82" fillId="8" borderId="0" xfId="4" applyFont="1" applyFill="1"/>
    <xf numFmtId="0" fontId="14" fillId="9" borderId="0" xfId="4" applyFont="1" applyFill="1"/>
    <xf numFmtId="0" fontId="73" fillId="8" borderId="0" xfId="4" applyFont="1" applyFill="1" applyAlignment="1">
      <alignment horizontal="right"/>
    </xf>
    <xf numFmtId="0" fontId="87" fillId="8" borderId="0" xfId="4" applyFont="1" applyFill="1" applyAlignment="1">
      <alignment horizontal="center"/>
    </xf>
    <xf numFmtId="0" fontId="88" fillId="0" borderId="0" xfId="4" applyFont="1" applyAlignment="1">
      <alignment horizontal="center"/>
    </xf>
    <xf numFmtId="0" fontId="53" fillId="0" borderId="0" xfId="4" applyFont="1" applyAlignment="1">
      <alignment wrapText="1"/>
    </xf>
    <xf numFmtId="0" fontId="75" fillId="2" borderId="0" xfId="4" applyFont="1" applyFill="1"/>
    <xf numFmtId="0" fontId="63" fillId="0" borderId="0" xfId="4" applyFont="1" applyAlignment="1">
      <alignment wrapText="1"/>
    </xf>
    <xf numFmtId="0" fontId="75" fillId="6" borderId="0" xfId="4" applyFont="1" applyFill="1"/>
    <xf numFmtId="0" fontId="61" fillId="0" borderId="0" xfId="4" applyFont="1" applyFill="1"/>
    <xf numFmtId="0" fontId="1" fillId="0" borderId="0" xfId="2" applyFont="1"/>
    <xf numFmtId="0" fontId="46" fillId="4" borderId="0" xfId="4" applyFont="1" applyFill="1"/>
    <xf numFmtId="0" fontId="4" fillId="4" borderId="0" xfId="1" applyFill="1"/>
  </cellXfs>
  <cellStyles count="5">
    <cellStyle name="Hyperlink" xfId="1" builtinId="8"/>
    <cellStyle name="Hyperlink 2" xfId="3" xr:uid="{46786B4F-74A9-490A-A23F-6EBE606B567E}"/>
    <cellStyle name="Normal" xfId="0" builtinId="0"/>
    <cellStyle name="Normal 2" xfId="2" xr:uid="{E1448F04-8BED-40B7-A693-B5B040ACDA9B}"/>
    <cellStyle name="Normal 3" xfId="4" xr:uid="{9400ABF8-A91D-466E-AA07-AFA7666288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poj.com/problems/PRATA/" TargetMode="External"/><Relationship Id="rId21" Type="http://schemas.openxmlformats.org/officeDocument/2006/relationships/hyperlink" Target="https://practice.geeksforgeeks.org/problems/subarray-with-0-sum/0" TargetMode="External"/><Relationship Id="rId324" Type="http://schemas.openxmlformats.org/officeDocument/2006/relationships/hyperlink" Target="https://practice.geeksforgeeks.org/problems/minimum-sum4058/1" TargetMode="External"/><Relationship Id="rId531" Type="http://schemas.openxmlformats.org/officeDocument/2006/relationships/hyperlink" Target="https://practice.geeksforgeeks.org/problems/largest-subarray-with-0-sum/1" TargetMode="External"/><Relationship Id="rId170" Type="http://schemas.openxmlformats.org/officeDocument/2006/relationships/hyperlink" Target="https://practice.geeksforgeeks.org/problems/zigzag-tree-traversal/1" TargetMode="External"/><Relationship Id="rId268" Type="http://schemas.openxmlformats.org/officeDocument/2006/relationships/hyperlink" Target="https://www.geeksforgeeks.org/find-the-k-th-permutation-sequence-of-first-n-natural-numbers/" TargetMode="External"/><Relationship Id="rId475" Type="http://schemas.openxmlformats.org/officeDocument/2006/relationships/hyperlink" Target="https://www.youtube.com/watch?v=ot_XBHyqpFc&amp;list=PL_z_8CaSLPWekqhdCPmFohncHwz8TY2Go&amp;index=12&amp;ab_channel=AdityaVerma" TargetMode="External"/><Relationship Id="rId32" Type="http://schemas.openxmlformats.org/officeDocument/2006/relationships/hyperlink" Target="https://practice.geeksforgeeks.org/problems/three-way-partitioning/1" TargetMode="External"/><Relationship Id="rId128" Type="http://schemas.openxmlformats.org/officeDocument/2006/relationships/hyperlink" Target="https://practice.geeksforgeeks.org/problems/remove-loop-in-linked-list/1" TargetMode="External"/><Relationship Id="rId335" Type="http://schemas.openxmlformats.org/officeDocument/2006/relationships/hyperlink" Target="https://www.geeksforgeeks.org/dijkstras-shortest-path-algorithm-greedy-algo-7/" TargetMode="External"/><Relationship Id="rId181" Type="http://schemas.openxmlformats.org/officeDocument/2006/relationships/hyperlink" Target="https://practice.geeksforgeeks.org/problems/duplicate-subtree-in-binary-tree/1" TargetMode="External"/><Relationship Id="rId402" Type="http://schemas.openxmlformats.org/officeDocument/2006/relationships/hyperlink" Target="https://practice.geeksforgeeks.org/problems/minimum-number-of-jumps/0" TargetMode="External"/><Relationship Id="rId279" Type="http://schemas.openxmlformats.org/officeDocument/2006/relationships/hyperlink" Target="https://www.geeksforgeeks.org/arithmetic-expression-evalution/" TargetMode="External"/><Relationship Id="rId444" Type="http://schemas.openxmlformats.org/officeDocument/2006/relationships/hyperlink" Target="https://1drv.ms/t/s!AqTOHFO77CqEiRua06v1PATyiFg5" TargetMode="External"/><Relationship Id="rId486" Type="http://schemas.openxmlformats.org/officeDocument/2006/relationships/hyperlink" Target="https://www.youtube.com/watch?v=YHSjvswCXC8&amp;t=235s&amp;ab_channel=Pepcoding" TargetMode="External"/><Relationship Id="rId43" Type="http://schemas.openxmlformats.org/officeDocument/2006/relationships/hyperlink" Target="https://www.geeksforgeeks.org/find-a-specific-pair-in-matrix/" TargetMode="External"/><Relationship Id="rId139" Type="http://schemas.openxmlformats.org/officeDocument/2006/relationships/hyperlink" Target="https://leetcode.com/problems/middle-of-the-linked-list/" TargetMode="External"/><Relationship Id="rId290" Type="http://schemas.openxmlformats.org/officeDocument/2006/relationships/hyperlink" Target="https://www.geeksforgeeks.org/stack-permutations-check-if-an-array-is-stack-permutation-of-other/" TargetMode="External"/><Relationship Id="rId304" Type="http://schemas.openxmlformats.org/officeDocument/2006/relationships/hyperlink" Target="https://practice.geeksforgeeks.org/problems/game-with-string/0" TargetMode="External"/><Relationship Id="rId346" Type="http://schemas.openxmlformats.org/officeDocument/2006/relationships/hyperlink" Target="https://www.geeksforgeeks.org/travelling-salesman-problem-set-1/" TargetMode="External"/><Relationship Id="rId388" Type="http://schemas.openxmlformats.org/officeDocument/2006/relationships/hyperlink" Target="https://practice.geeksforgeeks.org/problems/longest-repeating-subsequence/0" TargetMode="External"/><Relationship Id="rId511" Type="http://schemas.openxmlformats.org/officeDocument/2006/relationships/hyperlink" Target="https://leetcode.com/problems/maximum-xor-of-two-numbers-in-an-array/" TargetMode="External"/><Relationship Id="rId85" Type="http://schemas.openxmlformats.org/officeDocument/2006/relationships/hyperlink" Target="https://www.geeksforgeeks.org/function-to-find-number-of-customers-who-could-not-get-a-computer/" TargetMode="External"/><Relationship Id="rId150" Type="http://schemas.openxmlformats.org/officeDocument/2006/relationships/hyperlink" Target="https://practice.geeksforgeeks.org/problems/given-a-linked-list-of-0s-1s-and-2s-sort-it/1" TargetMode="External"/><Relationship Id="rId192" Type="http://schemas.openxmlformats.org/officeDocument/2006/relationships/hyperlink" Target="https://practice.geeksforgeeks.org/problems/check-if-tree-is-isomorphic/1" TargetMode="External"/><Relationship Id="rId206" Type="http://schemas.openxmlformats.org/officeDocument/2006/relationships/hyperlink" Target="https://practice.geeksforgeeks.org/problems/brothers-from-different-root/1" TargetMode="External"/><Relationship Id="rId413" Type="http://schemas.openxmlformats.org/officeDocument/2006/relationships/hyperlink" Target="https://practice.geeksforgeeks.org/problems/subset-sum-problem2014/1" TargetMode="External"/><Relationship Id="rId248" Type="http://schemas.openxmlformats.org/officeDocument/2006/relationships/hyperlink" Target="https://practice.geeksforgeeks.org/problems/rearrange-characters/0" TargetMode="External"/><Relationship Id="rId455" Type="http://schemas.openxmlformats.org/officeDocument/2006/relationships/hyperlink" Target="https://leetcode.com/problems/binary-tree-coloring-game/" TargetMode="External"/><Relationship Id="rId497" Type="http://schemas.openxmlformats.org/officeDocument/2006/relationships/hyperlink" Target="https://www.pepcoding.com/resources/data-structures-and-algorithms-in-java-levelup/linked-list/fold-of-linkedlist/ojquestion" TargetMode="External"/><Relationship Id="rId12" Type="http://schemas.openxmlformats.org/officeDocument/2006/relationships/hyperlink" Target="https://practice.geeksforgeeks.org/problems/merge-two-sorted-arrays5135/1" TargetMode="External"/><Relationship Id="rId108" Type="http://schemas.openxmlformats.org/officeDocument/2006/relationships/hyperlink" Target="http://theoryofprogramming.com/2017/12/16/find-pivot-element-sorted-rotated-array/" TargetMode="External"/><Relationship Id="rId315" Type="http://schemas.openxmlformats.org/officeDocument/2006/relationships/hyperlink" Target="https://leetcode.com/problems/reorganize-string/" TargetMode="External"/><Relationship Id="rId357" Type="http://schemas.openxmlformats.org/officeDocument/2006/relationships/hyperlink" Target="https://www.geeksforgeeks.org/water-jug-problem-using-bfs/" TargetMode="External"/><Relationship Id="rId522" Type="http://schemas.openxmlformats.org/officeDocument/2006/relationships/hyperlink" Target="https://leetcode.com/problems/partition-to-k-equal-sum-subsets/" TargetMode="External"/><Relationship Id="rId54" Type="http://schemas.openxmlformats.org/officeDocument/2006/relationships/hyperlink" Target="https://practice.geeksforgeeks.org/problems/longest-repeating-subsequence/0" TargetMode="External"/><Relationship Id="rId96" Type="http://schemas.openxmlformats.org/officeDocument/2006/relationships/hyperlink" Target="https://www.geeksforgeeks.org/searching-array-adjacent-differ-k/" TargetMode="External"/><Relationship Id="rId161" Type="http://schemas.openxmlformats.org/officeDocument/2006/relationships/hyperlink" Target="https://practice.geeksforgeeks.org/problems/diameter-of-binary-tree/1" TargetMode="External"/><Relationship Id="rId217" Type="http://schemas.openxmlformats.org/officeDocument/2006/relationships/hyperlink" Target="https://practice.geeksforgeeks.org/problems/huffman-encoding/0" TargetMode="External"/><Relationship Id="rId399" Type="http://schemas.openxmlformats.org/officeDocument/2006/relationships/hyperlink" Target="https://practice.geeksforgeeks.org/problems/pairs-with-specific-difference/0" TargetMode="External"/><Relationship Id="rId259" Type="http://schemas.openxmlformats.org/officeDocument/2006/relationships/hyperlink" Target="https://www.geeksforgeeks.org/tug-of-war/" TargetMode="External"/><Relationship Id="rId424" Type="http://schemas.openxmlformats.org/officeDocument/2006/relationships/hyperlink" Target="https://practice.geeksforgeeks.org/problems/palindromic-patitioning4845/1" TargetMode="External"/><Relationship Id="rId466" Type="http://schemas.openxmlformats.org/officeDocument/2006/relationships/hyperlink" Target="https://leetcode.com/problems/delete-node-in-a-linked-list/" TargetMode="External"/><Relationship Id="rId23" Type="http://schemas.openxmlformats.org/officeDocument/2006/relationships/hyperlink" Target="https://practice.geeksforgeeks.org/problems/maximum-product-subarray3604/1" TargetMode="External"/><Relationship Id="rId119" Type="http://schemas.openxmlformats.org/officeDocument/2006/relationships/hyperlink" Target="https://www.spoj.com/problems/SUBSUMS/" TargetMode="External"/><Relationship Id="rId270" Type="http://schemas.openxmlformats.org/officeDocument/2006/relationships/hyperlink" Target="https://www.geeksforgeeks.org/queue-set-1introduction-and-array-implementation/" TargetMode="External"/><Relationship Id="rId326" Type="http://schemas.openxmlformats.org/officeDocument/2006/relationships/hyperlink" Target="https://www.geeksforgeeks.org/depth-first-search-or-dfs-for-a-graph/" TargetMode="External"/><Relationship Id="rId533" Type="http://schemas.openxmlformats.org/officeDocument/2006/relationships/hyperlink" Target="https://leetcode.com/problems/merge-in-between-linked-lists/" TargetMode="External"/><Relationship Id="rId65" Type="http://schemas.openxmlformats.org/officeDocument/2006/relationships/hyperlink" Target="https://www.geeksforgeeks.org/convert-sentence-equivalent-mobile-numeric-keypad-sequence/" TargetMode="External"/><Relationship Id="rId130" Type="http://schemas.openxmlformats.org/officeDocument/2006/relationships/hyperlink" Target="https://practice.geeksforgeeks.org/problems/remove-duplicate-element-from-sorted-linked-list/1" TargetMode="External"/><Relationship Id="rId368" Type="http://schemas.openxmlformats.org/officeDocument/2006/relationships/hyperlink" Target="https://www.geeksforgeeks.org/trie-insert-and-search/" TargetMode="External"/><Relationship Id="rId172" Type="http://schemas.openxmlformats.org/officeDocument/2006/relationships/hyperlink" Target="https://www.geeksforgeeks.org/diagonal-traversal-of-binary-tree/" TargetMode="External"/><Relationship Id="rId228" Type="http://schemas.openxmlformats.org/officeDocument/2006/relationships/hyperlink" Target="https://www.geeksforgeeks.org/find-maximum-meetings-in-one-room/" TargetMode="External"/><Relationship Id="rId435" Type="http://schemas.openxmlformats.org/officeDocument/2006/relationships/hyperlink" Target="https://practice.geeksforgeeks.org/problems/finding-the-numbers0215/1" TargetMode="External"/><Relationship Id="rId477" Type="http://schemas.openxmlformats.org/officeDocument/2006/relationships/hyperlink" Target="https://leetcode.com/problems/partition-equal-subset-sum/" TargetMode="External"/><Relationship Id="rId281" Type="http://schemas.openxmlformats.org/officeDocument/2006/relationships/hyperlink" Target="https://stackoverflow.com/questions/45130465/inserting-at-the-end-of-stack" TargetMode="External"/><Relationship Id="rId337" Type="http://schemas.openxmlformats.org/officeDocument/2006/relationships/hyperlink" Target="https://www.geeksforgeeks.org/minimum-time-taken-by-each-job-to-be-completed-given-by-a-directed-acyclic-graph/" TargetMode="External"/><Relationship Id="rId502" Type="http://schemas.openxmlformats.org/officeDocument/2006/relationships/hyperlink" Target="https://practice.geeksforgeeks.org/problems/insert-a-node-in-doubly-linked-list/1" TargetMode="External"/><Relationship Id="rId34" Type="http://schemas.openxmlformats.org/officeDocument/2006/relationships/hyperlink" Target="https://practice.geeksforgeeks.org/problems/palindromic-array/0" TargetMode="External"/><Relationship Id="rId76" Type="http://schemas.openxmlformats.org/officeDocument/2006/relationships/hyperlink" Target="https://practice.geeksforgeeks.org/problems/longest-common-subsequence/0" TargetMode="External"/><Relationship Id="rId141" Type="http://schemas.openxmlformats.org/officeDocument/2006/relationships/hyperlink" Target="https://leetcode.com/problems/palindrome-linked-list/" TargetMode="External"/><Relationship Id="rId379" Type="http://schemas.openxmlformats.org/officeDocument/2006/relationships/hyperlink" Target="https://www.geeksforgeeks.org/matrix-chain-multiplication-dp-8/" TargetMode="External"/><Relationship Id="rId7" Type="http://schemas.openxmlformats.org/officeDocument/2006/relationships/hyperlink" Target="https://practice.geeksforgeeks.org/problems/cyclically-rotate-an-array-by-one/0" TargetMode="External"/><Relationship Id="rId183" Type="http://schemas.openxmlformats.org/officeDocument/2006/relationships/hyperlink" Target="https://practice.geeksforgeeks.org/problems/sum-of-the-longest-bloodline-of-a-tree/1" TargetMode="External"/><Relationship Id="rId239" Type="http://schemas.openxmlformats.org/officeDocument/2006/relationships/hyperlink" Target="https://www.spoj.com/problems/DEFKIN/" TargetMode="External"/><Relationship Id="rId390" Type="http://schemas.openxmlformats.org/officeDocument/2006/relationships/hyperlink" Target="https://www.geeksforgeeks.org/space-optimized-solution-lcs/" TargetMode="External"/><Relationship Id="rId404" Type="http://schemas.openxmlformats.org/officeDocument/2006/relationships/hyperlink" Target="https://www.geeksforgeeks.org/minimum-removals-array-make-max-min-k/" TargetMode="External"/><Relationship Id="rId446" Type="http://schemas.openxmlformats.org/officeDocument/2006/relationships/hyperlink" Target="https://codeforces.com/contest/915/problem/C" TargetMode="External"/><Relationship Id="rId250" Type="http://schemas.openxmlformats.org/officeDocument/2006/relationships/hyperlink" Target="https://practice.geeksforgeeks.org/problems/rat-in-a-maze-problem/1" TargetMode="External"/><Relationship Id="rId292" Type="http://schemas.openxmlformats.org/officeDocument/2006/relationships/hyperlink" Target="https://www.geeksforgeeks.org/efficiently-implement-k-queues-single-array/" TargetMode="External"/><Relationship Id="rId306" Type="http://schemas.openxmlformats.org/officeDocument/2006/relationships/hyperlink" Target="https://www.geeksforgeeks.org/next-smaller-element/" TargetMode="External"/><Relationship Id="rId488" Type="http://schemas.openxmlformats.org/officeDocument/2006/relationships/hyperlink" Target="https://practice.geeksforgeeks.org/problems/minimum-number-of-deletions4610/1" TargetMode="External"/><Relationship Id="rId45" Type="http://schemas.openxmlformats.org/officeDocument/2006/relationships/hyperlink" Target="https://practice.geeksforgeeks.org/problems/kth-element-in-matrix/1" TargetMode="External"/><Relationship Id="rId87" Type="http://schemas.openxmlformats.org/officeDocument/2006/relationships/hyperlink" Target="https://practice.geeksforgeeks.org/problems/isomorphic-strings/0" TargetMode="External"/><Relationship Id="rId110" Type="http://schemas.openxmlformats.org/officeDocument/2006/relationships/hyperlink" Target="https://www.spoj.com/problems/AGGRCOW/" TargetMode="External"/><Relationship Id="rId348" Type="http://schemas.openxmlformats.org/officeDocument/2006/relationships/hyperlink" Target="https://leetcode.com/problems/snakes-and-ladders/" TargetMode="External"/><Relationship Id="rId513" Type="http://schemas.openxmlformats.org/officeDocument/2006/relationships/hyperlink" Target="https://leetcode.com/problems/longest-consecutive-sequence/" TargetMode="External"/><Relationship Id="rId152" Type="http://schemas.openxmlformats.org/officeDocument/2006/relationships/hyperlink" Target="https://leetcode.com/problems/merge-k-sorted-lists/" TargetMode="External"/><Relationship Id="rId194" Type="http://schemas.openxmlformats.org/officeDocument/2006/relationships/hyperlink" Target="https://leetcode.com/problems/delete-node-in-a-bst/" TargetMode="External"/><Relationship Id="rId208" Type="http://schemas.openxmlformats.org/officeDocument/2006/relationships/hyperlink" Target="https://practice.geeksforgeeks.org/problems/count-bst-nodes-that-lie-in-a-given-range/1" TargetMode="External"/><Relationship Id="rId415" Type="http://schemas.openxmlformats.org/officeDocument/2006/relationships/hyperlink" Target="https://leetcode.com/problems/longest-palindromic-subsequence/" TargetMode="External"/><Relationship Id="rId457" Type="http://schemas.openxmlformats.org/officeDocument/2006/relationships/hyperlink" Target="https://leetcode.com/problems/pascals-triangle-ii/" TargetMode="External"/><Relationship Id="rId261" Type="http://schemas.openxmlformats.org/officeDocument/2006/relationships/hyperlink" Target="https://leetcode.com/problems/combination-sum/" TargetMode="External"/><Relationship Id="rId499" Type="http://schemas.openxmlformats.org/officeDocument/2006/relationships/hyperlink" Target="https://leetcode.com/problems/odd-even-linked-list/" TargetMode="External"/><Relationship Id="rId14" Type="http://schemas.openxmlformats.org/officeDocument/2006/relationships/hyperlink" Target="https://leetcode.com/problems/merge-intervals/" TargetMode="External"/><Relationship Id="rId56" Type="http://schemas.openxmlformats.org/officeDocument/2006/relationships/hyperlink" Target="https://practice.geeksforgeeks.org/problems/permutations-of-a-given-string/0" TargetMode="External"/><Relationship Id="rId317" Type="http://schemas.openxmlformats.org/officeDocument/2006/relationships/hyperlink" Target="https://practice.geeksforgeeks.org/problems/find-smallest-range-containing-elements-from-k-lists/1" TargetMode="External"/><Relationship Id="rId359" Type="http://schemas.openxmlformats.org/officeDocument/2006/relationships/hyperlink" Target="https://www.geeksforgeeks.org/find-if-there-is-a-path-of-more-than-k-length-from-a-source/" TargetMode="External"/><Relationship Id="rId524" Type="http://schemas.openxmlformats.org/officeDocument/2006/relationships/hyperlink" Target="https://leetcode.com/problems/best-time-to-buy-and-sell-stock-with-cooldown/" TargetMode="External"/><Relationship Id="rId98" Type="http://schemas.openxmlformats.org/officeDocument/2006/relationships/hyperlink" Target="https://practice.geeksforgeeks.org/problems/find-all-four-sum-numbers/0" TargetMode="External"/><Relationship Id="rId121" Type="http://schemas.openxmlformats.org/officeDocument/2006/relationships/hyperlink" Target="https://www.geeksforgeeks.org/in-place-merge-sort/" TargetMode="External"/><Relationship Id="rId163" Type="http://schemas.openxmlformats.org/officeDocument/2006/relationships/hyperlink" Target="https://leetcode.com/problems/binary-tree-inorder-traversal/" TargetMode="External"/><Relationship Id="rId219" Type="http://schemas.openxmlformats.org/officeDocument/2006/relationships/hyperlink" Target="https://practice.geeksforgeeks.org/problems/fractional-knapsack/0" TargetMode="External"/><Relationship Id="rId370" Type="http://schemas.openxmlformats.org/officeDocument/2006/relationships/hyperlink" Target="https://www.geeksforgeeks.org/word-break-problem-trie-solution/" TargetMode="External"/><Relationship Id="rId426" Type="http://schemas.openxmlformats.org/officeDocument/2006/relationships/hyperlink" Target="https://practice.geeksforgeeks.org/problems/mobile-numeric-keypad5456/1" TargetMode="External"/><Relationship Id="rId230" Type="http://schemas.openxmlformats.org/officeDocument/2006/relationships/hyperlink" Target="https://practice.geeksforgeeks.org/problems/maximize-sum-after-k-negations/0" TargetMode="External"/><Relationship Id="rId468" Type="http://schemas.openxmlformats.org/officeDocument/2006/relationships/hyperlink" Target="https://leetcode.com/problems/minimum-falling-path-sum/" TargetMode="External"/><Relationship Id="rId25" Type="http://schemas.openxmlformats.org/officeDocument/2006/relationships/hyperlink" Target="https://www.geeksforgeeks.org/given-an-array-of-of-size-n-finds-all-the-elements-that-appear-more-than-nk-times/" TargetMode="External"/><Relationship Id="rId67" Type="http://schemas.openxmlformats.org/officeDocument/2006/relationships/hyperlink" Target="https://practice.geeksforgeeks.org/problems/count-palindromic-subsequences/1" TargetMode="External"/><Relationship Id="rId272" Type="http://schemas.openxmlformats.org/officeDocument/2006/relationships/hyperlink" Target="https://www.geeksforgeeks.org/design-a-stack-with-find-middle-operation/" TargetMode="External"/><Relationship Id="rId328" Type="http://schemas.openxmlformats.org/officeDocument/2006/relationships/hyperlink" Target="https://practice.geeksforgeeks.org/problems/detect-cycle-in-an-undirected-graph/1" TargetMode="External"/><Relationship Id="rId132" Type="http://schemas.openxmlformats.org/officeDocument/2006/relationships/hyperlink" Target="https://www.geeksforgeeks.org/move-last-element-to-front-of-a-given-linked-list/" TargetMode="External"/><Relationship Id="rId174" Type="http://schemas.openxmlformats.org/officeDocument/2006/relationships/hyperlink" Target="https://www.geeksforgeeks.org/construct-binary-tree-string-bracket-representation/" TargetMode="External"/><Relationship Id="rId381" Type="http://schemas.openxmlformats.org/officeDocument/2006/relationships/hyperlink" Target="https://leetcode.com/problems/partition-equal-subset-sum/" TargetMode="External"/><Relationship Id="rId241" Type="http://schemas.openxmlformats.org/officeDocument/2006/relationships/hyperlink" Target="https://www.spoj.com/problems/GERGOVIA/" TargetMode="External"/><Relationship Id="rId437" Type="http://schemas.openxmlformats.org/officeDocument/2006/relationships/hyperlink" Target="https://practice.geeksforgeeks.org/problems/count-total-set-bits/0" TargetMode="External"/><Relationship Id="rId479" Type="http://schemas.openxmlformats.org/officeDocument/2006/relationships/hyperlink" Target="https://www.techiedelight.com/longest-common-substring-problem/" TargetMode="External"/><Relationship Id="rId36" Type="http://schemas.openxmlformats.org/officeDocument/2006/relationships/hyperlink" Target="https://www.geeksforgeeks.org/median-of-two-sorted-arrays-of-different-sizes/" TargetMode="External"/><Relationship Id="rId283" Type="http://schemas.openxmlformats.org/officeDocument/2006/relationships/hyperlink" Target="https://practice.geeksforgeeks.org/problems/sort-a-stack/1" TargetMode="External"/><Relationship Id="rId339" Type="http://schemas.openxmlformats.org/officeDocument/2006/relationships/hyperlink" Target="https://practice.geeksforgeeks.org/problems/find-the-number-of-islands/1" TargetMode="External"/><Relationship Id="rId490" Type="http://schemas.openxmlformats.org/officeDocument/2006/relationships/hyperlink" Target="https://practice.geeksforgeeks.org/problems/find-length-of-longest-subsequence4905/1" TargetMode="External"/><Relationship Id="rId504" Type="http://schemas.openxmlformats.org/officeDocument/2006/relationships/hyperlink" Target="https://leetcode.com/problems/house-robber-iii/" TargetMode="External"/><Relationship Id="rId78" Type="http://schemas.openxmlformats.org/officeDocument/2006/relationships/hyperlink" Target="https://practice.geeksforgeeks.org/problems/smallest-distant-window/0" TargetMode="External"/><Relationship Id="rId101" Type="http://schemas.openxmlformats.org/officeDocument/2006/relationships/hyperlink" Target="https://practice.geeksforgeeks.org/problems/zero-sum-subarrays/0" TargetMode="External"/><Relationship Id="rId143" Type="http://schemas.openxmlformats.org/officeDocument/2006/relationships/hyperlink" Target="https://practice.geeksforgeeks.org/problems/reverse-a-doubly-linked-list/1" TargetMode="External"/><Relationship Id="rId185" Type="http://schemas.openxmlformats.org/officeDocument/2006/relationships/hyperlink" Target="https://www.geeksforgeeks.org/find-largest-subtree-sum-tree/" TargetMode="External"/><Relationship Id="rId350" Type="http://schemas.openxmlformats.org/officeDocument/2006/relationships/hyperlink" Target="https://practice.geeksforgeeks.org/problems/strongly-connected-components-kosarajus-algo/1" TargetMode="External"/><Relationship Id="rId406" Type="http://schemas.openxmlformats.org/officeDocument/2006/relationships/hyperlink" Target="https://practice.geeksforgeeks.org/problems/reach-a-given-score/0" TargetMode="External"/><Relationship Id="rId9" Type="http://schemas.openxmlformats.org/officeDocument/2006/relationships/hyperlink" Target="https://practice.geeksforgeeks.org/problems/minimize-the-heights3351/1" TargetMode="External"/><Relationship Id="rId210" Type="http://schemas.openxmlformats.org/officeDocument/2006/relationships/hyperlink" Target="https://www.geeksforgeeks.org/given-n-appointments-find-conflicting-appointments/" TargetMode="External"/><Relationship Id="rId392" Type="http://schemas.openxmlformats.org/officeDocument/2006/relationships/hyperlink" Target="https://practice.geeksforgeeks.org/problems/maximum-sum-increasing-subsequence4749/1" TargetMode="External"/><Relationship Id="rId448" Type="http://schemas.openxmlformats.org/officeDocument/2006/relationships/hyperlink" Target="https://leetcode.com/problems/permutations-ii/" TargetMode="External"/><Relationship Id="rId252" Type="http://schemas.openxmlformats.org/officeDocument/2006/relationships/hyperlink" Target="https://practice.geeksforgeeks.org/problems/word-break-part-2/0" TargetMode="External"/><Relationship Id="rId294" Type="http://schemas.openxmlformats.org/officeDocument/2006/relationships/hyperlink" Target="https://practice.geeksforgeeks.org/problems/lru-cache/1" TargetMode="External"/><Relationship Id="rId308" Type="http://schemas.openxmlformats.org/officeDocument/2006/relationships/hyperlink" Target="https://www.geeksforgeeks.org/heap-sort/" TargetMode="External"/><Relationship Id="rId515" Type="http://schemas.openxmlformats.org/officeDocument/2006/relationships/hyperlink" Target="https://leetcode.com/problems/majority-element/" TargetMode="External"/><Relationship Id="rId47" Type="http://schemas.openxmlformats.org/officeDocument/2006/relationships/hyperlink" Target="https://leetcode.com/problems/reverse-string/" TargetMode="External"/><Relationship Id="rId89" Type="http://schemas.openxmlformats.org/officeDocument/2006/relationships/hyperlink" Target="https://practice.geeksforgeeks.org/problems/first-and-last-occurrences-of-x/0" TargetMode="External"/><Relationship Id="rId112" Type="http://schemas.openxmlformats.org/officeDocument/2006/relationships/hyperlink" Target="https://www.spoj.com/problems/EKO/" TargetMode="External"/><Relationship Id="rId154" Type="http://schemas.openxmlformats.org/officeDocument/2006/relationships/hyperlink" Target="https://practice.geeksforgeeks.org/problems/delete-nodes-having-greater-value-on-right/1" TargetMode="External"/><Relationship Id="rId361" Type="http://schemas.openxmlformats.org/officeDocument/2006/relationships/hyperlink" Target="https://www.geeksforgeeks.org/minimum-edges-reverse-make-path-source-destination/" TargetMode="External"/><Relationship Id="rId196" Type="http://schemas.openxmlformats.org/officeDocument/2006/relationships/hyperlink" Target="https://practice.geeksforgeeks.org/problems/predecessor-and-successor/1" TargetMode="External"/><Relationship Id="rId417" Type="http://schemas.openxmlformats.org/officeDocument/2006/relationships/hyperlink" Target="https://practice.geeksforgeeks.org/problems/longest-alternating-subsequence/0" TargetMode="External"/><Relationship Id="rId459" Type="http://schemas.openxmlformats.org/officeDocument/2006/relationships/hyperlink" Target="https://leetcode.com/problems/find-all-duplicates-in-an-array/" TargetMode="External"/><Relationship Id="rId16" Type="http://schemas.openxmlformats.org/officeDocument/2006/relationships/hyperlink" Target="https://practice.geeksforgeeks.org/problems/inversion-of-array/0" TargetMode="External"/><Relationship Id="rId221" Type="http://schemas.openxmlformats.org/officeDocument/2006/relationships/hyperlink" Target="https://www.geeksforgeeks.org/maximum-trains-stoppage-can-provided/" TargetMode="External"/><Relationship Id="rId263" Type="http://schemas.openxmlformats.org/officeDocument/2006/relationships/hyperlink" Target="https://practice.geeksforgeeks.org/problems/permutations-of-a-given-string/0" TargetMode="External"/><Relationship Id="rId319" Type="http://schemas.openxmlformats.org/officeDocument/2006/relationships/hyperlink" Target="https://practice.geeksforgeeks.org/problems/is-binary-tree-heap/1" TargetMode="External"/><Relationship Id="rId470" Type="http://schemas.openxmlformats.org/officeDocument/2006/relationships/hyperlink" Target="https://leetcode.com/problems/perfect-squares/" TargetMode="External"/><Relationship Id="rId526" Type="http://schemas.openxmlformats.org/officeDocument/2006/relationships/hyperlink" Target="https://leetcode.com/problems/design-browser-history/" TargetMode="External"/><Relationship Id="rId58" Type="http://schemas.openxmlformats.org/officeDocument/2006/relationships/hyperlink" Target="https://practice.geeksforgeeks.org/problems/word-wrap/0" TargetMode="External"/><Relationship Id="rId123" Type="http://schemas.openxmlformats.org/officeDocument/2006/relationships/hyperlink" Target="https://practice.geeksforgeeks.org/problems/middle-of-three2926/1" TargetMode="External"/><Relationship Id="rId330" Type="http://schemas.openxmlformats.org/officeDocument/2006/relationships/hyperlink" Target="https://practice.geeksforgeeks.org/problems/steps-by-knight/0" TargetMode="External"/><Relationship Id="rId165" Type="http://schemas.openxmlformats.org/officeDocument/2006/relationships/hyperlink" Target="https://leetcode.com/problems/binary-tree-postorder-traversal/" TargetMode="External"/><Relationship Id="rId372" Type="http://schemas.openxmlformats.org/officeDocument/2006/relationships/hyperlink" Target="https://practice.geeksforgeeks.org/problems/phone-directory/0" TargetMode="External"/><Relationship Id="rId428" Type="http://schemas.openxmlformats.org/officeDocument/2006/relationships/hyperlink" Target="https://practice.geeksforgeeks.org/problems/interleaved-strings/1" TargetMode="External"/><Relationship Id="rId232" Type="http://schemas.openxmlformats.org/officeDocument/2006/relationships/hyperlink" Target="https://www.geeksforgeeks.org/maximum-sum-absolute-difference-array/" TargetMode="External"/><Relationship Id="rId274" Type="http://schemas.openxmlformats.org/officeDocument/2006/relationships/hyperlink" Target="https://practice.geeksforgeeks.org/problems/parenthesis-checker/0" TargetMode="External"/><Relationship Id="rId481" Type="http://schemas.openxmlformats.org/officeDocument/2006/relationships/hyperlink" Target="https://leetcode.com/problems/shortest-common-supersequence/" TargetMode="External"/><Relationship Id="rId27" Type="http://schemas.openxmlformats.org/officeDocument/2006/relationships/hyperlink" Target="https://practice.geeksforgeeks.org/problems/array-subset-of-another-array/0" TargetMode="External"/><Relationship Id="rId69" Type="http://schemas.openxmlformats.org/officeDocument/2006/relationships/hyperlink" Target="https://practice.geeksforgeeks.org/problems/find-the-string-in-grid/0" TargetMode="External"/><Relationship Id="rId134" Type="http://schemas.openxmlformats.org/officeDocument/2006/relationships/hyperlink" Target="https://practice.geeksforgeeks.org/problems/add-two-numbers-represented-by-linked-lists/1" TargetMode="External"/><Relationship Id="rId80" Type="http://schemas.openxmlformats.org/officeDocument/2006/relationships/hyperlink" Target="https://www.geeksforgeeks.org/minimum-characters-added-front-make-string-palindrome/" TargetMode="External"/><Relationship Id="rId176" Type="http://schemas.openxmlformats.org/officeDocument/2006/relationships/hyperlink" Target="https://practice.geeksforgeeks.org/problems/transform-to-sum-tree/1" TargetMode="External"/><Relationship Id="rId341" Type="http://schemas.openxmlformats.org/officeDocument/2006/relationships/hyperlink" Target="https://www.geeksforgeeks.org/kruskals-minimum-spanning-tree-algorithm-greedy-algo-2/" TargetMode="External"/><Relationship Id="rId383" Type="http://schemas.openxmlformats.org/officeDocument/2006/relationships/hyperlink" Target="https://www.geeksforgeeks.org/gold-mine-problem/" TargetMode="External"/><Relationship Id="rId439" Type="http://schemas.openxmlformats.org/officeDocument/2006/relationships/hyperlink" Target="https://practice.geeksforgeeks.org/problems/find-position-of-set-bit3706/1" TargetMode="External"/><Relationship Id="rId201" Type="http://schemas.openxmlformats.org/officeDocument/2006/relationships/hyperlink" Target="https://practice.geeksforgeeks.org/problems/binary-tree-to-bst/1" TargetMode="External"/><Relationship Id="rId243" Type="http://schemas.openxmlformats.org/officeDocument/2006/relationships/hyperlink" Target="https://www.spoj.com/problems/CHOCOLA/" TargetMode="External"/><Relationship Id="rId285" Type="http://schemas.openxmlformats.org/officeDocument/2006/relationships/hyperlink" Target="https://practice.geeksforgeeks.org/problems/maximum-rectangular-area-in-a-histogram/0" TargetMode="External"/><Relationship Id="rId450" Type="http://schemas.openxmlformats.org/officeDocument/2006/relationships/hyperlink" Target="https://www.hackerrank.com/challenges/the-power-sum/problem" TargetMode="External"/><Relationship Id="rId506" Type="http://schemas.openxmlformats.org/officeDocument/2006/relationships/hyperlink" Target="https://leetcode.com/problems/last-stone-weight-ii/" TargetMode="External"/><Relationship Id="rId38" Type="http://schemas.openxmlformats.org/officeDocument/2006/relationships/hyperlink" Target="https://leetcode.com/problems/search-a-2d-matrix/" TargetMode="External"/><Relationship Id="rId103" Type="http://schemas.openxmlformats.org/officeDocument/2006/relationships/hyperlink" Target="https://practice.geeksforgeeks.org/problems/sort-by-set-bit-count/0" TargetMode="External"/><Relationship Id="rId310" Type="http://schemas.openxmlformats.org/officeDocument/2006/relationships/hyperlink" Target="https://leetcode.com/problems/kth-largest-element-in-an-array/" TargetMode="External"/><Relationship Id="rId492" Type="http://schemas.openxmlformats.org/officeDocument/2006/relationships/hyperlink" Target="https://leetcode.com/problems/remove-nth-node-from-end-of-list/" TargetMode="External"/><Relationship Id="rId91" Type="http://schemas.openxmlformats.org/officeDocument/2006/relationships/hyperlink" Target="https://leetcode.com/problems/search-in-rotated-sorted-array/" TargetMode="External"/><Relationship Id="rId145" Type="http://schemas.openxmlformats.org/officeDocument/2006/relationships/hyperlink" Target="https://www.geeksforgeeks.org/count-triplets-sorted-doubly-linked-list-whose-sum-equal-given-value-x/" TargetMode="External"/><Relationship Id="rId187" Type="http://schemas.openxmlformats.org/officeDocument/2006/relationships/hyperlink" Target="https://www.geeksforgeeks.org/print-k-sum-paths-binary-tree/" TargetMode="External"/><Relationship Id="rId352" Type="http://schemas.openxmlformats.org/officeDocument/2006/relationships/hyperlink" Target="https://www.geeksforgeeks.org/detect-negative-cycle-graph-bellman-ford/" TargetMode="External"/><Relationship Id="rId394" Type="http://schemas.openxmlformats.org/officeDocument/2006/relationships/hyperlink" Target="https://practice.geeksforgeeks.org/problems/longest-subsequence-such-that-difference-between-adjacents-is-one4724/1" TargetMode="External"/><Relationship Id="rId408" Type="http://schemas.openxmlformats.org/officeDocument/2006/relationships/hyperlink" Target="https://practice.geeksforgeeks.org/problems/kadanes-algorithm/0" TargetMode="External"/><Relationship Id="rId212" Type="http://schemas.openxmlformats.org/officeDocument/2006/relationships/hyperlink" Target="https://practice.geeksforgeeks.org/problems/check-whether-bst-contains-dead-end/1" TargetMode="External"/><Relationship Id="rId254" Type="http://schemas.openxmlformats.org/officeDocument/2006/relationships/hyperlink" Target="https://practice.geeksforgeeks.org/problems/solve-the-sudoku/0" TargetMode="External"/><Relationship Id="rId49" Type="http://schemas.openxmlformats.org/officeDocument/2006/relationships/hyperlink" Target="https://www.geeksforgeeks.org/print-all-the-duplicates-in-the-input-string/" TargetMode="External"/><Relationship Id="rId114" Type="http://schemas.openxmlformats.org/officeDocument/2006/relationships/hyperlink" Target="https://practice.geeksforgeeks.org/problems/arithmetic-number/0" TargetMode="External"/><Relationship Id="rId296" Type="http://schemas.openxmlformats.org/officeDocument/2006/relationships/hyperlink" Target="https://practice.geeksforgeeks.org/problems/reverse-first-k-elements-of-queue/1" TargetMode="External"/><Relationship Id="rId461" Type="http://schemas.openxmlformats.org/officeDocument/2006/relationships/hyperlink" Target="https://leetcode.com/problems/merge-intervals/" TargetMode="External"/><Relationship Id="rId517" Type="http://schemas.openxmlformats.org/officeDocument/2006/relationships/hyperlink" Target="https://leetcode.com/problems/remove-duplicates-from-sorted-array-ii/" TargetMode="External"/><Relationship Id="rId60" Type="http://schemas.openxmlformats.org/officeDocument/2006/relationships/hyperlink" Target="https://practice.geeksforgeeks.org/problems/next-permutation/0" TargetMode="External"/><Relationship Id="rId156" Type="http://schemas.openxmlformats.org/officeDocument/2006/relationships/hyperlink" Target="https://practice.geeksforgeeks.org/problems/nth-node-from-end-of-linked-list/1" TargetMode="External"/><Relationship Id="rId198" Type="http://schemas.openxmlformats.org/officeDocument/2006/relationships/hyperlink" Target="https://practice.geeksforgeeks.org/problems/populate-inorder-successor-for-all-nodes/1" TargetMode="External"/><Relationship Id="rId321" Type="http://schemas.openxmlformats.org/officeDocument/2006/relationships/hyperlink" Target="https://www.geeksforgeeks.org/convert-bst-min-heap/" TargetMode="External"/><Relationship Id="rId363" Type="http://schemas.openxmlformats.org/officeDocument/2006/relationships/hyperlink" Target="https://www.geeksforgeeks.org/chinese-postman-route-inspection-set-1-introduction/" TargetMode="External"/><Relationship Id="rId419" Type="http://schemas.openxmlformats.org/officeDocument/2006/relationships/hyperlink" Target="https://www.geeksforgeeks.org/coin-game-winner-every-player-three-choices/" TargetMode="External"/><Relationship Id="rId223" Type="http://schemas.openxmlformats.org/officeDocument/2006/relationships/hyperlink" Target="https://www.geeksforgeeks.org/buy-maximum-stocks-stocks-can-bought-th-day/" TargetMode="External"/><Relationship Id="rId430" Type="http://schemas.openxmlformats.org/officeDocument/2006/relationships/hyperlink" Target="https://practice.geeksforgeeks.org/problems/maximum-sum-rectangle/0" TargetMode="External"/><Relationship Id="rId18" Type="http://schemas.openxmlformats.org/officeDocument/2006/relationships/hyperlink" Target="https://practice.geeksforgeeks.org/problems/count-pairs-with-given-sum5022/1" TargetMode="External"/><Relationship Id="rId265" Type="http://schemas.openxmlformats.org/officeDocument/2006/relationships/hyperlink" Target="https://www.geeksforgeeks.org/longest-possible-route-in-a-matrix-with-hurdles/" TargetMode="External"/><Relationship Id="rId472" Type="http://schemas.openxmlformats.org/officeDocument/2006/relationships/hyperlink" Target="https://practice.geeksforgeeks.org/problems/subset-sum-problem-1611555638/1" TargetMode="External"/><Relationship Id="rId528" Type="http://schemas.openxmlformats.org/officeDocument/2006/relationships/hyperlink" Target="https://leetcode.com/problems/maximum-sum-circular-subarray/" TargetMode="External"/><Relationship Id="rId125" Type="http://schemas.openxmlformats.org/officeDocument/2006/relationships/hyperlink" Target="https://leetcode.com/problems/reverse-linked-list/" TargetMode="External"/><Relationship Id="rId167" Type="http://schemas.openxmlformats.org/officeDocument/2006/relationships/hyperlink" Target="https://practice.geeksforgeeks.org/problems/right-view-of-binary-tree/1" TargetMode="External"/><Relationship Id="rId332" Type="http://schemas.openxmlformats.org/officeDocument/2006/relationships/hyperlink" Target="https://leetcode.com/problems/clone-graph/" TargetMode="External"/><Relationship Id="rId374" Type="http://schemas.openxmlformats.org/officeDocument/2006/relationships/hyperlink" Target="https://practice.geeksforgeeks.org/problems/coin-change2448/1" TargetMode="External"/><Relationship Id="rId71" Type="http://schemas.openxmlformats.org/officeDocument/2006/relationships/hyperlink" Target="https://practice.geeksforgeeks.org/problems/roman-number-to-integer/0" TargetMode="External"/><Relationship Id="rId234" Type="http://schemas.openxmlformats.org/officeDocument/2006/relationships/hyperlink" Target="https://www.geeksforgeeks.org/minimum-sum-absolute-difference-pairs-two-arrays/" TargetMode="External"/><Relationship Id="rId2" Type="http://schemas.openxmlformats.org/officeDocument/2006/relationships/hyperlink" Target="https://www.geeksforgeeks.org/maximum-and-minimum-in-an-array/" TargetMode="External"/><Relationship Id="rId29" Type="http://schemas.openxmlformats.org/officeDocument/2006/relationships/hyperlink" Target="https://practice.geeksforgeeks.org/problems/trapping-rain-water/0" TargetMode="External"/><Relationship Id="rId276" Type="http://schemas.openxmlformats.org/officeDocument/2006/relationships/hyperlink" Target="https://practice.geeksforgeeks.org/problems/special-stack/1" TargetMode="External"/><Relationship Id="rId441" Type="http://schemas.openxmlformats.org/officeDocument/2006/relationships/hyperlink" Target="https://practice.geeksforgeeks.org/problems/power-set4302/1" TargetMode="External"/><Relationship Id="rId483" Type="http://schemas.openxmlformats.org/officeDocument/2006/relationships/hyperlink" Target="https://leetcode.com/problems/add-two-numbers/" TargetMode="External"/><Relationship Id="rId40" Type="http://schemas.openxmlformats.org/officeDocument/2006/relationships/hyperlink" Target="https://practice.geeksforgeeks.org/problems/row-with-max-1s0023/1" TargetMode="External"/><Relationship Id="rId136" Type="http://schemas.openxmlformats.org/officeDocument/2006/relationships/hyperlink" Target="https://practice.geeksforgeeks.org/problems/intersection-point-in-y-shapped-linked-lists/1" TargetMode="External"/><Relationship Id="rId178" Type="http://schemas.openxmlformats.org/officeDocument/2006/relationships/hyperlink" Target="https://www.geeksforgeeks.org/minimum-swap-required-convert-binary-tree-binary-search-tree/" TargetMode="External"/><Relationship Id="rId301" Type="http://schemas.openxmlformats.org/officeDocument/2006/relationships/hyperlink" Target="https://practice.geeksforgeeks.org/problems/first-negative-integer-in-every-window-of-size-k/0" TargetMode="External"/><Relationship Id="rId343" Type="http://schemas.openxmlformats.org/officeDocument/2006/relationships/hyperlink" Target="https://www.geeksforgeeks.org/total-number-spanning-trees-graph/" TargetMode="External"/><Relationship Id="rId82" Type="http://schemas.openxmlformats.org/officeDocument/2006/relationships/hyperlink" Target="https://practice.geeksforgeeks.org/problems/smallest-window-in-a-string-containing-all-the-characters-of-another-string/0" TargetMode="External"/><Relationship Id="rId203" Type="http://schemas.openxmlformats.org/officeDocument/2006/relationships/hyperlink" Target="https://www.geeksforgeeks.org/merge-two-balanced-binary-search-trees/" TargetMode="External"/><Relationship Id="rId385" Type="http://schemas.openxmlformats.org/officeDocument/2006/relationships/hyperlink" Target="https://practice.geeksforgeeks.org/problems/painting-the-fence3727/1" TargetMode="External"/><Relationship Id="rId245" Type="http://schemas.openxmlformats.org/officeDocument/2006/relationships/hyperlink" Target="https://www.geeksforgeeks.org/k-centers-problem-set-1-greedy-approximate-algorithm/" TargetMode="External"/><Relationship Id="rId287" Type="http://schemas.openxmlformats.org/officeDocument/2006/relationships/hyperlink" Target="https://www.geeksforgeeks.org/expression-contains-redundant-bracket-not/" TargetMode="External"/><Relationship Id="rId410" Type="http://schemas.openxmlformats.org/officeDocument/2006/relationships/hyperlink" Target="https://practice.geeksforgeeks.org/problems/knapsack-with-duplicate-items4201/1" TargetMode="External"/><Relationship Id="rId452" Type="http://schemas.openxmlformats.org/officeDocument/2006/relationships/hyperlink" Target="https://leetcode.com/problems/divisor-game/" TargetMode="External"/><Relationship Id="rId494" Type="http://schemas.openxmlformats.org/officeDocument/2006/relationships/hyperlink" Target="https://leetcode.com/problems/insertion-sort-list/" TargetMode="External"/><Relationship Id="rId508" Type="http://schemas.openxmlformats.org/officeDocument/2006/relationships/hyperlink" Target="https://leetcode.com/problems/partition-array-for-maximum-sum/" TargetMode="External"/><Relationship Id="rId105" Type="http://schemas.openxmlformats.org/officeDocument/2006/relationships/hyperlink" Target="https://www.hackerearth.com/practice/algorithms/searching/binary-search/practice-problems/algorithm/bishu-and-soldiers/" TargetMode="External"/><Relationship Id="rId147" Type="http://schemas.openxmlformats.org/officeDocument/2006/relationships/hyperlink" Target="https://www.geeksforgeeks.org/rotate-doubly-linked-list-n-nodes/" TargetMode="External"/><Relationship Id="rId312" Type="http://schemas.openxmlformats.org/officeDocument/2006/relationships/hyperlink" Target="https://practice.geeksforgeeks.org/problems/merge-k-sorted-arrays/1" TargetMode="External"/><Relationship Id="rId354" Type="http://schemas.openxmlformats.org/officeDocument/2006/relationships/hyperlink" Target="https://www.hackerrank.com/challenges/journey-to-the-moon/problem" TargetMode="External"/><Relationship Id="rId51" Type="http://schemas.openxmlformats.org/officeDocument/2006/relationships/hyperlink" Target="https://www.programiz.com/java-programming/examples/check-valid-shuffle-of-strings" TargetMode="External"/><Relationship Id="rId93" Type="http://schemas.openxmlformats.org/officeDocument/2006/relationships/hyperlink" Target="https://www.geeksforgeeks.org/optimum-location-point-minimize-total-distance/" TargetMode="External"/><Relationship Id="rId189" Type="http://schemas.openxmlformats.org/officeDocument/2006/relationships/hyperlink" Target="https://practice.geeksforgeeks.org/problems/min-distance-between-two-given-nodes-of-a-binary-tree/1" TargetMode="External"/><Relationship Id="rId396" Type="http://schemas.openxmlformats.org/officeDocument/2006/relationships/hyperlink" Target="https://practice.geeksforgeeks.org/problems/egg-dropping-puzzle/0" TargetMode="External"/><Relationship Id="rId214" Type="http://schemas.openxmlformats.org/officeDocument/2006/relationships/hyperlink" Target="https://www.geeksforgeeks.org/flatten-bst-to-sorted-list-increasing-order/" TargetMode="External"/><Relationship Id="rId256" Type="http://schemas.openxmlformats.org/officeDocument/2006/relationships/hyperlink" Target="https://leetcode.com/problems/palindrome-partitioning/" TargetMode="External"/><Relationship Id="rId298" Type="http://schemas.openxmlformats.org/officeDocument/2006/relationships/hyperlink" Target="https://practice.geeksforgeeks.org/problems/circular-tour/1" TargetMode="External"/><Relationship Id="rId421" Type="http://schemas.openxmlformats.org/officeDocument/2006/relationships/hyperlink" Target="https://www.geeksforgeeks.org/maximum-profit-by-buying-and-selling-a-share-at-most-twice/" TargetMode="External"/><Relationship Id="rId463" Type="http://schemas.openxmlformats.org/officeDocument/2006/relationships/hyperlink" Target="https://leetcode.com/problems/subarray-sum-equals-k/" TargetMode="External"/><Relationship Id="rId519" Type="http://schemas.openxmlformats.org/officeDocument/2006/relationships/hyperlink" Target="https://leetcode.com/problems/next-greater-element-iii/" TargetMode="External"/><Relationship Id="rId116" Type="http://schemas.openxmlformats.org/officeDocument/2006/relationships/hyperlink" Target="https://practice.geeksforgeeks.org/problems/allocate-minimum-number-of-pages/0" TargetMode="External"/><Relationship Id="rId158" Type="http://schemas.openxmlformats.org/officeDocument/2006/relationships/hyperlink" Target="https://practice.geeksforgeeks.org/problems/level-order-traversal/1" TargetMode="External"/><Relationship Id="rId323" Type="http://schemas.openxmlformats.org/officeDocument/2006/relationships/hyperlink" Target="https://practice.geeksforgeeks.org/problems/rearrange-characters/0" TargetMode="External"/><Relationship Id="rId530" Type="http://schemas.openxmlformats.org/officeDocument/2006/relationships/hyperlink" Target="https://leetcode.com/problems/minimum-operations-to-make-the-array-alternating/" TargetMode="External"/><Relationship Id="rId20" Type="http://schemas.openxmlformats.org/officeDocument/2006/relationships/hyperlink" Target="https://www.geeksforgeeks.org/rearrange-array-alternating-positive-negative-items-o1-extra-space/" TargetMode="External"/><Relationship Id="rId62" Type="http://schemas.openxmlformats.org/officeDocument/2006/relationships/hyperlink" Target="https://practice.geeksforgeeks.org/problems/word-break/0" TargetMode="External"/><Relationship Id="rId365" Type="http://schemas.openxmlformats.org/officeDocument/2006/relationships/hyperlink" Target="https://www.geeksforgeeks.org/number-of-triangles-in-directed-and-undirected-graphs/" TargetMode="External"/><Relationship Id="rId225" Type="http://schemas.openxmlformats.org/officeDocument/2006/relationships/hyperlink" Target="https://www.geeksforgeeks.org/minimize-cash-flow-among-given-set-friends-borrowed-money/" TargetMode="External"/><Relationship Id="rId267" Type="http://schemas.openxmlformats.org/officeDocument/2006/relationships/hyperlink" Target="https://practice.geeksforgeeks.org/problems/partition-array-to-k-subsets/1" TargetMode="External"/><Relationship Id="rId432" Type="http://schemas.openxmlformats.org/officeDocument/2006/relationships/hyperlink" Target="https://www.geeksforgeeks.org/largest-rectangular-sub-matrix-whose-sum-0/" TargetMode="External"/><Relationship Id="rId474" Type="http://schemas.openxmlformats.org/officeDocument/2006/relationships/hyperlink" Target="https://practice.geeksforgeeks.org/problems/minimum-sum-partition3317/1" TargetMode="External"/><Relationship Id="rId127" Type="http://schemas.openxmlformats.org/officeDocument/2006/relationships/hyperlink" Target="https://leetcode.com/problems/linked-list-cycle/" TargetMode="External"/><Relationship Id="rId31" Type="http://schemas.openxmlformats.org/officeDocument/2006/relationships/hyperlink" Target="https://practice.geeksforgeeks.org/problems/smallest-subarray-with-sum-greater-than-x/0" TargetMode="External"/><Relationship Id="rId73" Type="http://schemas.openxmlformats.org/officeDocument/2006/relationships/hyperlink" Target="https://practice.geeksforgeeks.org/problems/min-number-of-flips/0" TargetMode="External"/><Relationship Id="rId169" Type="http://schemas.openxmlformats.org/officeDocument/2006/relationships/hyperlink" Target="https://practice.geeksforgeeks.org/problems/bottom-view-of-binary-tree/1" TargetMode="External"/><Relationship Id="rId334" Type="http://schemas.openxmlformats.org/officeDocument/2006/relationships/hyperlink" Target="https://leetcode.com/problems/word-ladder/" TargetMode="External"/><Relationship Id="rId376" Type="http://schemas.openxmlformats.org/officeDocument/2006/relationships/hyperlink" Target="https://practice.geeksforgeeks.org/problems/ncr1019/1" TargetMode="External"/><Relationship Id="rId4" Type="http://schemas.openxmlformats.org/officeDocument/2006/relationships/hyperlink" Target="https://practice.geeksforgeeks.org/problems/sort-an-array-of-0s-1s-and-2s/0" TargetMode="External"/><Relationship Id="rId180" Type="http://schemas.openxmlformats.org/officeDocument/2006/relationships/hyperlink" Target="https://practice.geeksforgeeks.org/problems/leaf-at-same-level/1" TargetMode="External"/><Relationship Id="rId236" Type="http://schemas.openxmlformats.org/officeDocument/2006/relationships/hyperlink" Target="https://practice.geeksforgeeks.org/problems/page-faults-in-lru/0" TargetMode="External"/><Relationship Id="rId278" Type="http://schemas.openxmlformats.org/officeDocument/2006/relationships/hyperlink" Target="https://practice.geeksforgeeks.org/problems/the-celebrity-problem/1" TargetMode="External"/><Relationship Id="rId401" Type="http://schemas.openxmlformats.org/officeDocument/2006/relationships/hyperlink" Target="https://practice.geeksforgeeks.org/problems/maximum-difference-of-zeros-and-ones-in-binary-string4111/1" TargetMode="External"/><Relationship Id="rId443" Type="http://schemas.openxmlformats.org/officeDocument/2006/relationships/hyperlink" Target="https://www.geeksforgeeks.org/calculate-square-of-a-number-without-using-and-pow/" TargetMode="External"/><Relationship Id="rId303" Type="http://schemas.openxmlformats.org/officeDocument/2006/relationships/hyperlink" Target="https://www.geeksforgeeks.org/sum-minimum-maximum-elements-subarrays-size-k/" TargetMode="External"/><Relationship Id="rId485" Type="http://schemas.openxmlformats.org/officeDocument/2006/relationships/hyperlink" Target="https://leetcode.com/problems/count-different-palindromic-subsequences/" TargetMode="External"/><Relationship Id="rId42" Type="http://schemas.openxmlformats.org/officeDocument/2006/relationships/hyperlink" Target="https://practice.geeksforgeeks.org/problems/max-rectangle/1" TargetMode="External"/><Relationship Id="rId84" Type="http://schemas.openxmlformats.org/officeDocument/2006/relationships/hyperlink" Target="https://practice.geeksforgeeks.org/problems/wildcard-string-matching/0" TargetMode="External"/><Relationship Id="rId138" Type="http://schemas.openxmlformats.org/officeDocument/2006/relationships/hyperlink" Target="https://practice.geeksforgeeks.org/problems/quick-sort-on-linked-list/1" TargetMode="External"/><Relationship Id="rId345" Type="http://schemas.openxmlformats.org/officeDocument/2006/relationships/hyperlink" Target="https://practice.geeksforgeeks.org/problems/implementing-floyd-warshall/0" TargetMode="External"/><Relationship Id="rId387" Type="http://schemas.openxmlformats.org/officeDocument/2006/relationships/hyperlink" Target="https://practice.geeksforgeeks.org/problems/longest-common-subsequence/0" TargetMode="External"/><Relationship Id="rId510" Type="http://schemas.openxmlformats.org/officeDocument/2006/relationships/hyperlink" Target="https://leetcode.com/problems/longest-mountain-in-array/" TargetMode="External"/><Relationship Id="rId191" Type="http://schemas.openxmlformats.org/officeDocument/2006/relationships/hyperlink" Target="https://practice.geeksforgeeks.org/problems/duplicate-subtrees/1" TargetMode="External"/><Relationship Id="rId205" Type="http://schemas.openxmlformats.org/officeDocument/2006/relationships/hyperlink" Target="https://practice.geeksforgeeks.org/problems/find-k-th-smallest-element-in-bst/1" TargetMode="External"/><Relationship Id="rId247" Type="http://schemas.openxmlformats.org/officeDocument/2006/relationships/hyperlink" Target="https://practice.geeksforgeeks.org/problems/smallest-number5829/1" TargetMode="External"/><Relationship Id="rId412" Type="http://schemas.openxmlformats.org/officeDocument/2006/relationships/hyperlink" Target="https://www.geeksforgeeks.org/largest-independent-set-problem-dp-26/" TargetMode="External"/><Relationship Id="rId107" Type="http://schemas.openxmlformats.org/officeDocument/2006/relationships/hyperlink" Target="https://www.hackerearth.com/practice/algorithms/searching/binary-search/practice-problems/algorithm/kth-smallest-number-again-2/" TargetMode="External"/><Relationship Id="rId289" Type="http://schemas.openxmlformats.org/officeDocument/2006/relationships/hyperlink" Target="https://www.geeksforgeeks.org/implement-stack-queue-using-deque/" TargetMode="External"/><Relationship Id="rId454" Type="http://schemas.openxmlformats.org/officeDocument/2006/relationships/hyperlink" Target="https://leetcode.com/problems/minimum-cost-for-tickets/" TargetMode="External"/><Relationship Id="rId496" Type="http://schemas.openxmlformats.org/officeDocument/2006/relationships/hyperlink" Target="https://leetcode.com/problems/design-linked-list/" TargetMode="External"/><Relationship Id="rId11" Type="http://schemas.openxmlformats.org/officeDocument/2006/relationships/hyperlink" Target="https://leetcode.com/problems/find-the-duplicate-number/" TargetMode="External"/><Relationship Id="rId53" Type="http://schemas.openxmlformats.org/officeDocument/2006/relationships/hyperlink" Target="https://practice.geeksforgeeks.org/problems/longest-palindrome-in-a-string/0" TargetMode="External"/><Relationship Id="rId149" Type="http://schemas.openxmlformats.org/officeDocument/2006/relationships/hyperlink" Target="https://practice.geeksforgeeks.org/problems/flattening-a-linked-list/1" TargetMode="External"/><Relationship Id="rId314" Type="http://schemas.openxmlformats.org/officeDocument/2006/relationships/hyperlink" Target="https://www.geeksforgeeks.org/k-th-largest-sum-contiguous-subarray/" TargetMode="External"/><Relationship Id="rId356" Type="http://schemas.openxmlformats.org/officeDocument/2006/relationships/hyperlink" Target="https://www.hackerearth.com/practice/algorithms/graphs/topological-sort/practice-problems/algorithm/oliver-and-the-game-3/" TargetMode="External"/><Relationship Id="rId398" Type="http://schemas.openxmlformats.org/officeDocument/2006/relationships/hyperlink" Target="https://practice.geeksforgeeks.org/problems/largest-square-formed-in-a-matrix/0" TargetMode="External"/><Relationship Id="rId521" Type="http://schemas.openxmlformats.org/officeDocument/2006/relationships/hyperlink" Target="https://leetcode.com/problems/design-skiplist/" TargetMode="External"/><Relationship Id="rId95" Type="http://schemas.openxmlformats.org/officeDocument/2006/relationships/hyperlink" Target="https://practice.geeksforgeeks.org/problems/majority-element/0" TargetMode="External"/><Relationship Id="rId160" Type="http://schemas.openxmlformats.org/officeDocument/2006/relationships/hyperlink" Target="https://practice.geeksforgeeks.org/problems/height-of-binary-tree/1" TargetMode="External"/><Relationship Id="rId216" Type="http://schemas.openxmlformats.org/officeDocument/2006/relationships/hyperlink" Target="https://practice.geeksforgeeks.org/problems/job-sequencing-problem/0" TargetMode="External"/><Relationship Id="rId423" Type="http://schemas.openxmlformats.org/officeDocument/2006/relationships/hyperlink" Target="https://www.geeksforgeeks.org/optimal-binary-search-tree-dp-24/" TargetMode="External"/><Relationship Id="rId258" Type="http://schemas.openxmlformats.org/officeDocument/2006/relationships/hyperlink" Target="https://www.geeksforgeeks.org/the-knights-tour-problem-backtracking-1/" TargetMode="External"/><Relationship Id="rId465" Type="http://schemas.openxmlformats.org/officeDocument/2006/relationships/hyperlink" Target="https://leetcode.com/problems/swap-nodes-in-pairs/" TargetMode="External"/><Relationship Id="rId22" Type="http://schemas.openxmlformats.org/officeDocument/2006/relationships/hyperlink" Target="https://practice.geeksforgeeks.org/problems/factorials-of-large-numbers/0" TargetMode="External"/><Relationship Id="rId64" Type="http://schemas.openxmlformats.org/officeDocument/2006/relationships/hyperlink" Target="https://practice.geeksforgeeks.org/problems/longest-prefix-suffix2527/1" TargetMode="External"/><Relationship Id="rId118" Type="http://schemas.openxmlformats.org/officeDocument/2006/relationships/hyperlink" Target="https://www.spoj.com/problems/ANARC05B/" TargetMode="External"/><Relationship Id="rId325" Type="http://schemas.openxmlformats.org/officeDocument/2006/relationships/hyperlink" Target="https://practice.geeksforgeeks.org/problems/bfs-traversal-of-graph/1" TargetMode="External"/><Relationship Id="rId367" Type="http://schemas.openxmlformats.org/officeDocument/2006/relationships/hyperlink" Target="https://www.geeksforgeeks.org/two-clique-problem-check-graph-can-divided-two-cliques/" TargetMode="External"/><Relationship Id="rId532" Type="http://schemas.openxmlformats.org/officeDocument/2006/relationships/hyperlink" Target="https://leetcode.com/problems/burst-balloons/" TargetMode="External"/><Relationship Id="rId171" Type="http://schemas.openxmlformats.org/officeDocument/2006/relationships/hyperlink" Target="https://practice.geeksforgeeks.org/problems/check-for-balanced-tree/1" TargetMode="External"/><Relationship Id="rId227" Type="http://schemas.openxmlformats.org/officeDocument/2006/relationships/hyperlink" Target="https://www.geeksforgeeks.org/survival/" TargetMode="External"/><Relationship Id="rId269" Type="http://schemas.openxmlformats.org/officeDocument/2006/relationships/hyperlink" Target="https://www.tutorialspoint.com/javaexamples/data_stack.htm" TargetMode="External"/><Relationship Id="rId434" Type="http://schemas.openxmlformats.org/officeDocument/2006/relationships/hyperlink" Target="https://practice.geeksforgeeks.org/problems/set-bits0143/1" TargetMode="External"/><Relationship Id="rId476" Type="http://schemas.openxmlformats.org/officeDocument/2006/relationships/hyperlink" Target="https://leetcode.com/problems/minimum-path-sum/" TargetMode="External"/><Relationship Id="rId33" Type="http://schemas.openxmlformats.org/officeDocument/2006/relationships/hyperlink" Target="https://practice.geeksforgeeks.org/problems/minimum-swaps-required-to-bring-all-elements-less-than-or-equal-to-k-together/0" TargetMode="External"/><Relationship Id="rId129" Type="http://schemas.openxmlformats.org/officeDocument/2006/relationships/hyperlink" Target="https://www.geeksforgeeks.org/find-first-node-of-loop-in-a-linked-list/" TargetMode="External"/><Relationship Id="rId280" Type="http://schemas.openxmlformats.org/officeDocument/2006/relationships/hyperlink" Target="https://practice.geeksforgeeks.org/problems/evaluation-of-postfix-expression/0" TargetMode="External"/><Relationship Id="rId336" Type="http://schemas.openxmlformats.org/officeDocument/2006/relationships/hyperlink" Target="https://practice.geeksforgeeks.org/problems/topological-sort/1" TargetMode="External"/><Relationship Id="rId501" Type="http://schemas.openxmlformats.org/officeDocument/2006/relationships/hyperlink" Target="https://leetcode.com/problems/reverse-nodes-in-even-length-groups/" TargetMode="External"/><Relationship Id="rId75" Type="http://schemas.openxmlformats.org/officeDocument/2006/relationships/hyperlink" Target="https://practice.geeksforgeeks.org/problems/minimum-swaps-for-bracket-balancing/0" TargetMode="External"/><Relationship Id="rId140" Type="http://schemas.openxmlformats.org/officeDocument/2006/relationships/hyperlink" Target="https://practice.geeksforgeeks.org/problems/split-a-circular-linked-list-into-two-halves/1" TargetMode="External"/><Relationship Id="rId182" Type="http://schemas.openxmlformats.org/officeDocument/2006/relationships/hyperlink" Target="https://practice.geeksforgeeks.org/problems/check-mirror-in-n-ary-tree/0" TargetMode="External"/><Relationship Id="rId378" Type="http://schemas.openxmlformats.org/officeDocument/2006/relationships/hyperlink" Target="https://www.geeksforgeeks.org/program-nth-catalan-number/" TargetMode="External"/><Relationship Id="rId403" Type="http://schemas.openxmlformats.org/officeDocument/2006/relationships/hyperlink" Target="https://practice.geeksforgeeks.org/problems/minimum-cost-to-fill-given-weight-in-a-bag1956/1" TargetMode="External"/><Relationship Id="rId6" Type="http://schemas.openxmlformats.org/officeDocument/2006/relationships/hyperlink" Target="https://practice.geeksforgeeks.org/problems/union-of-two-arrays/0" TargetMode="External"/><Relationship Id="rId238" Type="http://schemas.openxmlformats.org/officeDocument/2006/relationships/hyperlink" Target="https://practice.geeksforgeeks.org/problems/chocolate-distribution-problem/0" TargetMode="External"/><Relationship Id="rId445" Type="http://schemas.openxmlformats.org/officeDocument/2006/relationships/hyperlink" Target="https://codeforces.com/contest/1553/problem/C" TargetMode="External"/><Relationship Id="rId487" Type="http://schemas.openxmlformats.org/officeDocument/2006/relationships/hyperlink" Target="https://www.youtube.com/watch?v=fvYlinirmFg&amp;ab_channel=Pepcoding" TargetMode="External"/><Relationship Id="rId291" Type="http://schemas.openxmlformats.org/officeDocument/2006/relationships/hyperlink" Target="https://practice.geeksforgeeks.org/problems/queue-using-two-stacks/1" TargetMode="External"/><Relationship Id="rId305" Type="http://schemas.openxmlformats.org/officeDocument/2006/relationships/hyperlink" Target="https://practice.geeksforgeeks.org/problems/first-non-repeating-character-in-a-stream/0" TargetMode="External"/><Relationship Id="rId347" Type="http://schemas.openxmlformats.org/officeDocument/2006/relationships/hyperlink" Target="https://www.geeksforgeeks.org/graph-coloring-applications/" TargetMode="External"/><Relationship Id="rId512" Type="http://schemas.openxmlformats.org/officeDocument/2006/relationships/hyperlink" Target="https://leetcode.com/problems/maximum-xor-of-two-numbers-in-an-array/" TargetMode="External"/><Relationship Id="rId44" Type="http://schemas.openxmlformats.org/officeDocument/2006/relationships/hyperlink" Target="https://www.geeksforgeeks.org/rotate-a-matrix-by-90-degree-in-clockwise-direction-without-using-any-extra-space/" TargetMode="External"/><Relationship Id="rId86" Type="http://schemas.openxmlformats.org/officeDocument/2006/relationships/hyperlink" Target="https://www.geeksforgeeks.org/transform-one-string-to-another-using-minimum-number-of-given-operation/" TargetMode="External"/><Relationship Id="rId151" Type="http://schemas.openxmlformats.org/officeDocument/2006/relationships/hyperlink" Target="https://leetcode.com/problems/copy-list-with-random-pointer/" TargetMode="External"/><Relationship Id="rId389" Type="http://schemas.openxmlformats.org/officeDocument/2006/relationships/hyperlink" Target="https://practice.geeksforgeeks.org/problems/longest-increasing-subsequence/0" TargetMode="External"/><Relationship Id="rId193" Type="http://schemas.openxmlformats.org/officeDocument/2006/relationships/hyperlink" Target="https://www.geeksforgeeks.org/binary-search-tree-set-1-search-and-insertion/" TargetMode="External"/><Relationship Id="rId207" Type="http://schemas.openxmlformats.org/officeDocument/2006/relationships/hyperlink" Target="https://www.geeksforgeeks.org/find-median-bst-time-o1-space/" TargetMode="External"/><Relationship Id="rId249" Type="http://schemas.openxmlformats.org/officeDocument/2006/relationships/hyperlink" Target="https://www.geeksforgeeks.org/find-maximum-sum-possible-equal-sum-three-stacks/" TargetMode="External"/><Relationship Id="rId414" Type="http://schemas.openxmlformats.org/officeDocument/2006/relationships/hyperlink" Target="https://practice.geeksforgeeks.org/problems/count-palindromic-subsequences/1" TargetMode="External"/><Relationship Id="rId456" Type="http://schemas.openxmlformats.org/officeDocument/2006/relationships/hyperlink" Target="https://leetcode.com/problems/pascals-triangle/" TargetMode="External"/><Relationship Id="rId498" Type="http://schemas.openxmlformats.org/officeDocument/2006/relationships/hyperlink" Target="https://www.pepcoding.com/resources/data-structures-and-algorithms-in-java-levelup/linked-list/unfold-of-linkedlist/ojquestion" TargetMode="External"/><Relationship Id="rId13" Type="http://schemas.openxmlformats.org/officeDocument/2006/relationships/hyperlink" Target="https://practice.geeksforgeeks.org/problems/kadanes-algorithm/0" TargetMode="External"/><Relationship Id="rId109" Type="http://schemas.openxmlformats.org/officeDocument/2006/relationships/hyperlink" Target="https://practice.geeksforgeeks.org/problems/k-th-element-of-two-sorted-array/0" TargetMode="External"/><Relationship Id="rId260" Type="http://schemas.openxmlformats.org/officeDocument/2006/relationships/hyperlink" Target="https://www.geeksforgeeks.org/find-shortest-safe-route-in-a-path-with-landmines/" TargetMode="External"/><Relationship Id="rId316" Type="http://schemas.openxmlformats.org/officeDocument/2006/relationships/hyperlink" Target="https://practice.geeksforgeeks.org/problems/merge-k-sorted-linked-lists/1" TargetMode="External"/><Relationship Id="rId523" Type="http://schemas.openxmlformats.org/officeDocument/2006/relationships/hyperlink" Target="https://practice.geeksforgeeks.org/problems/stock-span-problem-1587115621/1" TargetMode="External"/><Relationship Id="rId55" Type="http://schemas.openxmlformats.org/officeDocument/2006/relationships/hyperlink" Target="https://www.geeksforgeeks.org/print-subsequences-string/" TargetMode="External"/><Relationship Id="rId97" Type="http://schemas.openxmlformats.org/officeDocument/2006/relationships/hyperlink" Target="https://practice.geeksforgeeks.org/problems/find-pair-given-difference/0" TargetMode="External"/><Relationship Id="rId120" Type="http://schemas.openxmlformats.org/officeDocument/2006/relationships/hyperlink" Target="https://practice.geeksforgeeks.org/problems/inversion-of-array/0" TargetMode="External"/><Relationship Id="rId358" Type="http://schemas.openxmlformats.org/officeDocument/2006/relationships/hyperlink" Target="https://www.geeksforgeeks.org/water-jug-problem-using-bfs/" TargetMode="External"/><Relationship Id="rId162" Type="http://schemas.openxmlformats.org/officeDocument/2006/relationships/hyperlink" Target="https://www.geeksforgeeks.org/create-a-mirror-tree-from-the-given-binary-tree/" TargetMode="External"/><Relationship Id="rId218" Type="http://schemas.openxmlformats.org/officeDocument/2006/relationships/hyperlink" Target="https://practice.geeksforgeeks.org/problems/water-connection-problem/0" TargetMode="External"/><Relationship Id="rId425" Type="http://schemas.openxmlformats.org/officeDocument/2006/relationships/hyperlink" Target="https://practice.geeksforgeeks.org/problems/word-wrap/0" TargetMode="External"/><Relationship Id="rId467" Type="http://schemas.openxmlformats.org/officeDocument/2006/relationships/hyperlink" Target="https://leetcode.com/problems/linked-list-components/" TargetMode="External"/><Relationship Id="rId271" Type="http://schemas.openxmlformats.org/officeDocument/2006/relationships/hyperlink" Target="https://practice.geeksforgeeks.org/problems/implement-two-stacks-in-an-array/1" TargetMode="External"/><Relationship Id="rId24" Type="http://schemas.openxmlformats.org/officeDocument/2006/relationships/hyperlink" Target="https://practice.geeksforgeeks.org/problems/longest-consecutive-subsequence/0" TargetMode="External"/><Relationship Id="rId66" Type="http://schemas.openxmlformats.org/officeDocument/2006/relationships/hyperlink" Target="https://practice.geeksforgeeks.org/problems/count-the-reversals/0" TargetMode="External"/><Relationship Id="rId131" Type="http://schemas.openxmlformats.org/officeDocument/2006/relationships/hyperlink" Target="https://practice.geeksforgeeks.org/problems/remove-duplicates-from-an-unsorted-linked-list/1" TargetMode="External"/><Relationship Id="rId327" Type="http://schemas.openxmlformats.org/officeDocument/2006/relationships/hyperlink" Target="https://www.geeksforgeeks.org/detect-cycle-in-a-graph/" TargetMode="External"/><Relationship Id="rId369" Type="http://schemas.openxmlformats.org/officeDocument/2006/relationships/hyperlink" Target="https://www.geeksforgeeks.org/find-all-shortest-unique-prefixes-to-represent-each-word-in-a-given-list/" TargetMode="External"/><Relationship Id="rId534" Type="http://schemas.openxmlformats.org/officeDocument/2006/relationships/printerSettings" Target="../printerSettings/printerSettings1.bin"/><Relationship Id="rId173" Type="http://schemas.openxmlformats.org/officeDocument/2006/relationships/hyperlink" Target="https://practice.geeksforgeeks.org/problems/boundary-traversal-of-binary-tree/1" TargetMode="External"/><Relationship Id="rId229" Type="http://schemas.openxmlformats.org/officeDocument/2006/relationships/hyperlink" Target="https://www.geeksforgeeks.org/maximum-product-subset-array/" TargetMode="External"/><Relationship Id="rId380" Type="http://schemas.openxmlformats.org/officeDocument/2006/relationships/hyperlink" Target="https://practice.geeksforgeeks.org/problems/edit-distance3702/1" TargetMode="External"/><Relationship Id="rId436" Type="http://schemas.openxmlformats.org/officeDocument/2006/relationships/hyperlink" Target="https://practice.geeksforgeeks.org/problems/bit-difference/0" TargetMode="External"/><Relationship Id="rId240" Type="http://schemas.openxmlformats.org/officeDocument/2006/relationships/hyperlink" Target="https://www.spoj.com/problems/DIEHARD/" TargetMode="External"/><Relationship Id="rId478" Type="http://schemas.openxmlformats.org/officeDocument/2006/relationships/hyperlink" Target="https://hack.codingblocks.com/app/contests/1157/437/problem" TargetMode="External"/><Relationship Id="rId35" Type="http://schemas.openxmlformats.org/officeDocument/2006/relationships/hyperlink" Target="https://practice.geeksforgeeks.org/problems/find-the-median0527/1" TargetMode="External"/><Relationship Id="rId77" Type="http://schemas.openxmlformats.org/officeDocument/2006/relationships/hyperlink" Target="https://www.geeksforgeeks.org/program-generate-possible-valid-ip-addresses-given-string/" TargetMode="External"/><Relationship Id="rId100" Type="http://schemas.openxmlformats.org/officeDocument/2006/relationships/hyperlink" Target="https://practice.geeksforgeeks.org/problems/merge-two-sorted-arrays5135/1" TargetMode="External"/><Relationship Id="rId282" Type="http://schemas.openxmlformats.org/officeDocument/2006/relationships/hyperlink" Target="https://www.geeksforgeeks.org/reverse-a-stack-using-recursion/" TargetMode="External"/><Relationship Id="rId338" Type="http://schemas.openxmlformats.org/officeDocument/2006/relationships/hyperlink" Target="https://www.geeksforgeeks.org/find-whether-it-is-possible-to-finish-all-tasks-or-not-from-given-dependencies/" TargetMode="External"/><Relationship Id="rId503" Type="http://schemas.openxmlformats.org/officeDocument/2006/relationships/hyperlink" Target="https://leetcode.com/problems/swapping-nodes-in-a-linked-list/" TargetMode="External"/><Relationship Id="rId8" Type="http://schemas.openxmlformats.org/officeDocument/2006/relationships/hyperlink" Target="https://practice.geeksforgeeks.org/problems/kadanes-algorithm/0" TargetMode="External"/><Relationship Id="rId142" Type="http://schemas.openxmlformats.org/officeDocument/2006/relationships/hyperlink" Target="https://www.geeksforgeeks.org/deletion-circular-linked-list/" TargetMode="External"/><Relationship Id="rId184" Type="http://schemas.openxmlformats.org/officeDocument/2006/relationships/hyperlink" Target="https://www.geeksforgeeks.org/check-given-graph-tree/" TargetMode="External"/><Relationship Id="rId391" Type="http://schemas.openxmlformats.org/officeDocument/2006/relationships/hyperlink" Target="https://practice.geeksforgeeks.org/problems/lcs-of-three-strings/0" TargetMode="External"/><Relationship Id="rId405" Type="http://schemas.openxmlformats.org/officeDocument/2006/relationships/hyperlink" Target="https://practice.geeksforgeeks.org/problems/longest-common-substring/0" TargetMode="External"/><Relationship Id="rId447" Type="http://schemas.openxmlformats.org/officeDocument/2006/relationships/hyperlink" Target="https://leetcode.com/problems/subsets-ii/" TargetMode="External"/><Relationship Id="rId251" Type="http://schemas.openxmlformats.org/officeDocument/2006/relationships/hyperlink" Target="https://www.geeksforgeeks.org/printing-solutions-n-queen-problem/" TargetMode="External"/><Relationship Id="rId489" Type="http://schemas.openxmlformats.org/officeDocument/2006/relationships/hyperlink" Target="https://leetcode.com/problems/minimum-insertion-steps-to-make-a-string-palindrome/" TargetMode="External"/><Relationship Id="rId46" Type="http://schemas.openxmlformats.org/officeDocument/2006/relationships/hyperlink" Target="https://www.geeksforgeeks.org/common-elements-in-all-rows-of-a-given-matrix/" TargetMode="External"/><Relationship Id="rId293" Type="http://schemas.openxmlformats.org/officeDocument/2006/relationships/hyperlink" Target="https://www.geeksforgeeks.org/circular-queue-set-1-introduction-array-implementation/" TargetMode="External"/><Relationship Id="rId307" Type="http://schemas.openxmlformats.org/officeDocument/2006/relationships/hyperlink" Target="https://www.geeksforgeeks.org/building-heap-from-array/" TargetMode="External"/><Relationship Id="rId349" Type="http://schemas.openxmlformats.org/officeDocument/2006/relationships/hyperlink" Target="https://www.geeksforgeeks.org/bridge-in-a-graph/" TargetMode="External"/><Relationship Id="rId514" Type="http://schemas.openxmlformats.org/officeDocument/2006/relationships/hyperlink" Target="https://leetcode.com/problems/combination-sum-ii/" TargetMode="External"/><Relationship Id="rId88" Type="http://schemas.openxmlformats.org/officeDocument/2006/relationships/hyperlink" Target="https://www.geeksforgeeks.org/recursively-print-all-sentences-that-can-be-formed-from-list-of-word-lists/" TargetMode="External"/><Relationship Id="rId111" Type="http://schemas.openxmlformats.org/officeDocument/2006/relationships/hyperlink" Target="https://practice.geeksforgeeks.org/problems/allocate-minimum-number-of-pages/0" TargetMode="External"/><Relationship Id="rId153" Type="http://schemas.openxmlformats.org/officeDocument/2006/relationships/hyperlink" Target="https://practice.geeksforgeeks.org/problems/multiply-two-linked-lists/1" TargetMode="External"/><Relationship Id="rId195" Type="http://schemas.openxmlformats.org/officeDocument/2006/relationships/hyperlink" Target="https://practice.geeksforgeeks.org/problems/minimum-element-in-bst/1" TargetMode="External"/><Relationship Id="rId209" Type="http://schemas.openxmlformats.org/officeDocument/2006/relationships/hyperlink" Target="https://www.geeksforgeeks.org/replace-every-element-with-the-least-greater-element-on-its-right/" TargetMode="External"/><Relationship Id="rId360" Type="http://schemas.openxmlformats.org/officeDocument/2006/relationships/hyperlink" Target="https://practice.geeksforgeeks.org/problems/m-coloring-problem/0" TargetMode="External"/><Relationship Id="rId416" Type="http://schemas.openxmlformats.org/officeDocument/2006/relationships/hyperlink" Target="https://leetcode.com/problems/longest-palindromic-substring/" TargetMode="External"/><Relationship Id="rId220" Type="http://schemas.openxmlformats.org/officeDocument/2006/relationships/hyperlink" Target="https://practice.geeksforgeeks.org/problems/coin-piles/0" TargetMode="External"/><Relationship Id="rId458" Type="http://schemas.openxmlformats.org/officeDocument/2006/relationships/hyperlink" Target="https://leetcode.com/problems/group-the-people-given-the-group-size-they-belong-to/" TargetMode="External"/><Relationship Id="rId15" Type="http://schemas.openxmlformats.org/officeDocument/2006/relationships/hyperlink" Target="https://leetcode.com/problems/next-permutation/" TargetMode="External"/><Relationship Id="rId57" Type="http://schemas.openxmlformats.org/officeDocument/2006/relationships/hyperlink" Target="https://www.geeksforgeeks.org/split-the-binary-string-into-substrings-with-equal-number-of-0s-and-1s/" TargetMode="External"/><Relationship Id="rId262" Type="http://schemas.openxmlformats.org/officeDocument/2006/relationships/hyperlink" Target="https://practice.geeksforgeeks.org/problems/largest-number-in-k-swaps/0" TargetMode="External"/><Relationship Id="rId318" Type="http://schemas.openxmlformats.org/officeDocument/2006/relationships/hyperlink" Target="https://practice.geeksforgeeks.org/problems/find-median-in-a-stream/0" TargetMode="External"/><Relationship Id="rId525" Type="http://schemas.openxmlformats.org/officeDocument/2006/relationships/hyperlink" Target="https://leetcode.com/problems/largest-multiple-of-three/" TargetMode="External"/><Relationship Id="rId99" Type="http://schemas.openxmlformats.org/officeDocument/2006/relationships/hyperlink" Target="https://practice.geeksforgeeks.org/problems/count-triplets-with-sum-smaller-than-x5549/1" TargetMode="External"/><Relationship Id="rId122" Type="http://schemas.openxmlformats.org/officeDocument/2006/relationships/hyperlink" Target="https://www.baeldung.com/java-sorting-arrays-with-repeated-entries" TargetMode="External"/><Relationship Id="rId164" Type="http://schemas.openxmlformats.org/officeDocument/2006/relationships/hyperlink" Target="https://leetcode.com/problems/binary-tree-preorder-traversal/" TargetMode="External"/><Relationship Id="rId371" Type="http://schemas.openxmlformats.org/officeDocument/2006/relationships/hyperlink" Target="https://practice.geeksforgeeks.org/problems/k-anagrams-1/0" TargetMode="External"/><Relationship Id="rId427" Type="http://schemas.openxmlformats.org/officeDocument/2006/relationships/hyperlink" Target="https://leetcode.com/problems/maximum-length-of-pair-chain/" TargetMode="External"/><Relationship Id="rId469" Type="http://schemas.openxmlformats.org/officeDocument/2006/relationships/hyperlink" Target="https://leetcode.com/problems/2-keys-keyboard/" TargetMode="External"/><Relationship Id="rId26" Type="http://schemas.openxmlformats.org/officeDocument/2006/relationships/hyperlink" Target="https://www.geeksforgeeks.org/maximum-profit-by-buying-and-selling-a-share-at-most-twice/" TargetMode="External"/><Relationship Id="rId231" Type="http://schemas.openxmlformats.org/officeDocument/2006/relationships/hyperlink" Target="https://practice.geeksforgeeks.org/problems/maximize-arrii-of-an-array/0" TargetMode="External"/><Relationship Id="rId273" Type="http://schemas.openxmlformats.org/officeDocument/2006/relationships/hyperlink" Target="https://www.geeksforgeeks.org/efficiently-implement-k-stacks-single-array/" TargetMode="External"/><Relationship Id="rId329" Type="http://schemas.openxmlformats.org/officeDocument/2006/relationships/hyperlink" Target="https://practice.geeksforgeeks.org/problems/rat-in-a-maze-problem/1" TargetMode="External"/><Relationship Id="rId480" Type="http://schemas.openxmlformats.org/officeDocument/2006/relationships/hyperlink" Target="https://practice.geeksforgeeks.org/problems/shortest-common-supersequence0322/1" TargetMode="External"/><Relationship Id="rId68" Type="http://schemas.openxmlformats.org/officeDocument/2006/relationships/hyperlink" Target="https://www.geeksforgeeks.org/find-count-number-given-string-present-2d-character-array/" TargetMode="External"/><Relationship Id="rId133" Type="http://schemas.openxmlformats.org/officeDocument/2006/relationships/hyperlink" Target="https://practice.geeksforgeeks.org/problems/add-1-to-a-number-represented-as-linked-list/1" TargetMode="External"/><Relationship Id="rId175" Type="http://schemas.openxmlformats.org/officeDocument/2006/relationships/hyperlink" Target="https://practice.geeksforgeeks.org/problems/binary-tree-to-dll/1" TargetMode="External"/><Relationship Id="rId340" Type="http://schemas.openxmlformats.org/officeDocument/2006/relationships/hyperlink" Target="https://practice.geeksforgeeks.org/problems/alien-dictionary/1" TargetMode="External"/><Relationship Id="rId200" Type="http://schemas.openxmlformats.org/officeDocument/2006/relationships/hyperlink" Target="https://www.geeksforgeeks.org/construct-bst-from-given-preorder-traversa/" TargetMode="External"/><Relationship Id="rId382" Type="http://schemas.openxmlformats.org/officeDocument/2006/relationships/hyperlink" Target="https://practice.geeksforgeeks.org/problems/friends-pairing-problem5425/1" TargetMode="External"/><Relationship Id="rId438" Type="http://schemas.openxmlformats.org/officeDocument/2006/relationships/hyperlink" Target="https://practice.geeksforgeeks.org/problems/power-of-2/0" TargetMode="External"/><Relationship Id="rId242" Type="http://schemas.openxmlformats.org/officeDocument/2006/relationships/hyperlink" Target="https://www.spoj.com/problems/GCJ101BB/" TargetMode="External"/><Relationship Id="rId284" Type="http://schemas.openxmlformats.org/officeDocument/2006/relationships/hyperlink" Target="https://practice.geeksforgeeks.org/problems/overlapping-intervals/0" TargetMode="External"/><Relationship Id="rId491" Type="http://schemas.openxmlformats.org/officeDocument/2006/relationships/hyperlink" Target="https://leetcode.com/problems/subarray-sums-divisible-by-k/" TargetMode="External"/><Relationship Id="rId505" Type="http://schemas.openxmlformats.org/officeDocument/2006/relationships/hyperlink" Target="https://leetcode.com/problems/binary-tree-cameras/" TargetMode="External"/><Relationship Id="rId37" Type="http://schemas.openxmlformats.org/officeDocument/2006/relationships/hyperlink" Target="https://practice.geeksforgeeks.org/problems/spirally-traversing-a-matrix/0" TargetMode="External"/><Relationship Id="rId79" Type="http://schemas.openxmlformats.org/officeDocument/2006/relationships/hyperlink" Target="https://practice.geeksforgeeks.org/problems/rearrange-characters/0" TargetMode="External"/><Relationship Id="rId102" Type="http://schemas.openxmlformats.org/officeDocument/2006/relationships/hyperlink" Target="https://practice.geeksforgeeks.org/problems/product-array-puzzle/0" TargetMode="External"/><Relationship Id="rId144" Type="http://schemas.openxmlformats.org/officeDocument/2006/relationships/hyperlink" Target="https://www.geeksforgeeks.org/find-pairs-given-sum-doubly-linked-list/" TargetMode="External"/><Relationship Id="rId90" Type="http://schemas.openxmlformats.org/officeDocument/2006/relationships/hyperlink" Target="https://practice.geeksforgeeks.org/problems/value-equal-to-index-value1330/1" TargetMode="External"/><Relationship Id="rId186" Type="http://schemas.openxmlformats.org/officeDocument/2006/relationships/hyperlink" Target="https://www.geeksforgeeks.org/maximum-sum-nodes-binary-tree-no-two-adjacent/" TargetMode="External"/><Relationship Id="rId351" Type="http://schemas.openxmlformats.org/officeDocument/2006/relationships/hyperlink" Target="https://www.geeksforgeeks.org/bipartite-graph/" TargetMode="External"/><Relationship Id="rId393" Type="http://schemas.openxmlformats.org/officeDocument/2006/relationships/hyperlink" Target="https://www.geeksforgeeks.org/count-subsequences-product-less-k/" TargetMode="External"/><Relationship Id="rId407" Type="http://schemas.openxmlformats.org/officeDocument/2006/relationships/hyperlink" Target="https://practice.geeksforgeeks.org/problems/bbt-counter/0" TargetMode="External"/><Relationship Id="rId449" Type="http://schemas.openxmlformats.org/officeDocument/2006/relationships/hyperlink" Target="https://leetcode.com/problems/count-numbers-with-unique-digits/" TargetMode="External"/><Relationship Id="rId211" Type="http://schemas.openxmlformats.org/officeDocument/2006/relationships/hyperlink" Target="https://practice.geeksforgeeks.org/problems/preorder-to-postorder/0" TargetMode="External"/><Relationship Id="rId253" Type="http://schemas.openxmlformats.org/officeDocument/2006/relationships/hyperlink" Target="https://leetcode.com/problems/remove-invalid-parentheses/" TargetMode="External"/><Relationship Id="rId295" Type="http://schemas.openxmlformats.org/officeDocument/2006/relationships/hyperlink" Target="https://practice.geeksforgeeks.org/problems/queue-reversal/1" TargetMode="External"/><Relationship Id="rId309" Type="http://schemas.openxmlformats.org/officeDocument/2006/relationships/hyperlink" Target="https://www.geeksforgeeks.org/sliding-window-maximum-maximum-of-all-subarrays-of-size-k/" TargetMode="External"/><Relationship Id="rId460" Type="http://schemas.openxmlformats.org/officeDocument/2006/relationships/hyperlink" Target="https://leetcode.com/problems/partition-labels/" TargetMode="External"/><Relationship Id="rId516" Type="http://schemas.openxmlformats.org/officeDocument/2006/relationships/hyperlink" Target="https://leetcode.com/problems/majority-element-ii/" TargetMode="External"/><Relationship Id="rId48" Type="http://schemas.openxmlformats.org/officeDocument/2006/relationships/hyperlink" Target="https://practice.geeksforgeeks.org/problems/palindrome-string0817/1" TargetMode="External"/><Relationship Id="rId113" Type="http://schemas.openxmlformats.org/officeDocument/2006/relationships/hyperlink" Target="https://www.geeksforgeeks.org/weighted-job-scheduling-log-n-time/" TargetMode="External"/><Relationship Id="rId320" Type="http://schemas.openxmlformats.org/officeDocument/2006/relationships/hyperlink" Target="https://practice.geeksforgeeks.org/problems/minimum-cost-of-ropes/0" TargetMode="External"/><Relationship Id="rId155" Type="http://schemas.openxmlformats.org/officeDocument/2006/relationships/hyperlink" Target="https://www.pepcoding.com/resources/data-structures-and-algorithms-in-java-levelup/linked-list/segregate-even-and-odd-nodes-in-a-link-list/ojquestion" TargetMode="External"/><Relationship Id="rId197" Type="http://schemas.openxmlformats.org/officeDocument/2006/relationships/hyperlink" Target="https://practice.geeksforgeeks.org/problems/check-for-bst/1" TargetMode="External"/><Relationship Id="rId362" Type="http://schemas.openxmlformats.org/officeDocument/2006/relationships/hyperlink" Target="https://www.geeksforgeeks.org/paths-travel-nodes-using-edgeseven-bridges-konigsberg/" TargetMode="External"/><Relationship Id="rId418" Type="http://schemas.openxmlformats.org/officeDocument/2006/relationships/hyperlink" Target="https://www.geeksforgeeks.org/weighted-job-scheduling/" TargetMode="External"/><Relationship Id="rId222" Type="http://schemas.openxmlformats.org/officeDocument/2006/relationships/hyperlink" Target="https://practice.geeksforgeeks.org/problems/minimum-platforms/0" TargetMode="External"/><Relationship Id="rId264" Type="http://schemas.openxmlformats.org/officeDocument/2006/relationships/hyperlink" Target="https://www.geeksforgeeks.org/find-if-there-is-a-path-of-more-than-k-length-from-a-source/" TargetMode="External"/><Relationship Id="rId471" Type="http://schemas.openxmlformats.org/officeDocument/2006/relationships/hyperlink" Target="https://leetcode.com/problems/triangle/" TargetMode="External"/><Relationship Id="rId17" Type="http://schemas.openxmlformats.org/officeDocument/2006/relationships/hyperlink" Target="https://leetcode.com/problems/best-time-to-buy-and-sell-stock/" TargetMode="External"/><Relationship Id="rId59" Type="http://schemas.openxmlformats.org/officeDocument/2006/relationships/hyperlink" Target="https://practice.geeksforgeeks.org/problems/edit-distance3702/1" TargetMode="External"/><Relationship Id="rId124" Type="http://schemas.openxmlformats.org/officeDocument/2006/relationships/hyperlink" Target="https://practice.geeksforgeeks.org/problems/stickler-theif/0" TargetMode="External"/><Relationship Id="rId527" Type="http://schemas.openxmlformats.org/officeDocument/2006/relationships/hyperlink" Target="https://leetcode.com/problems/maximum-subarray/discuss/1595195/C%2B%2BPython-7-Simple-Solutions-w-Explanation-or-Brute-Force-%2B-DP-%2B-Kadane-%2B-Divide-and-Conquer" TargetMode="External"/><Relationship Id="rId70" Type="http://schemas.openxmlformats.org/officeDocument/2006/relationships/hyperlink" Target="https://www.geeksforgeeks.org/boyer-moore-algorithm-for-pattern-searching/" TargetMode="External"/><Relationship Id="rId166" Type="http://schemas.openxmlformats.org/officeDocument/2006/relationships/hyperlink" Target="https://practice.geeksforgeeks.org/problems/left-view-of-binary-tree/1" TargetMode="External"/><Relationship Id="rId331" Type="http://schemas.openxmlformats.org/officeDocument/2006/relationships/hyperlink" Target="https://leetcode.com/problems/flood-fill/" TargetMode="External"/><Relationship Id="rId373" Type="http://schemas.openxmlformats.org/officeDocument/2006/relationships/hyperlink" Target="https://practice.geeksforgeeks.org/problems/unique-rows-in-boolean-matrix/1" TargetMode="External"/><Relationship Id="rId429" Type="http://schemas.openxmlformats.org/officeDocument/2006/relationships/hyperlink" Target="https://practice.geeksforgeeks.org/problems/maximum-profit4657/1" TargetMode="External"/><Relationship Id="rId1" Type="http://schemas.openxmlformats.org/officeDocument/2006/relationships/hyperlink" Target="https://www.geeksforgeeks.org/write-a-program-to-reverse-an-array-or-string/" TargetMode="External"/><Relationship Id="rId233" Type="http://schemas.openxmlformats.org/officeDocument/2006/relationships/hyperlink" Target="https://practice.geeksforgeeks.org/problems/swap-and-maximize/0" TargetMode="External"/><Relationship Id="rId440" Type="http://schemas.openxmlformats.org/officeDocument/2006/relationships/hyperlink" Target="https://www.geeksforgeeks.org/copy-set-bits-in-a-range/" TargetMode="External"/><Relationship Id="rId28" Type="http://schemas.openxmlformats.org/officeDocument/2006/relationships/hyperlink" Target="https://practice.geeksforgeeks.org/problems/triplet-sum-in-array/0" TargetMode="External"/><Relationship Id="rId275" Type="http://schemas.openxmlformats.org/officeDocument/2006/relationships/hyperlink" Target="https://practice.geeksforgeeks.org/problems/reverse-a-string-using-stack/1" TargetMode="External"/><Relationship Id="rId300" Type="http://schemas.openxmlformats.org/officeDocument/2006/relationships/hyperlink" Target="https://practice.geeksforgeeks.org/problems/distance-of-nearest-cell-having-1/0" TargetMode="External"/><Relationship Id="rId482" Type="http://schemas.openxmlformats.org/officeDocument/2006/relationships/hyperlink" Target="https://practice.geeksforgeeks.org/problems/minimum-number-of-deletions-and-insertions0209/1" TargetMode="External"/><Relationship Id="rId81" Type="http://schemas.openxmlformats.org/officeDocument/2006/relationships/hyperlink" Target="https://practice.geeksforgeeks.org/problems/k-anagrams-1/0" TargetMode="External"/><Relationship Id="rId135" Type="http://schemas.openxmlformats.org/officeDocument/2006/relationships/hyperlink" Target="https://practice.geeksforgeeks.org/problems/intersection-of-two-sorted-linked-lists/1" TargetMode="External"/><Relationship Id="rId177" Type="http://schemas.openxmlformats.org/officeDocument/2006/relationships/hyperlink" Target="https://practice.geeksforgeeks.org/problems/construct-tree-1/1" TargetMode="External"/><Relationship Id="rId342" Type="http://schemas.openxmlformats.org/officeDocument/2006/relationships/hyperlink" Target="https://www.geeksforgeeks.org/prims-minimum-spanning-tree-mst-greedy-algo-5/" TargetMode="External"/><Relationship Id="rId384" Type="http://schemas.openxmlformats.org/officeDocument/2006/relationships/hyperlink" Target="https://www.geeksforgeeks.org/assembly-line-scheduling-dp-34/" TargetMode="External"/><Relationship Id="rId202" Type="http://schemas.openxmlformats.org/officeDocument/2006/relationships/hyperlink" Target="https://www.geeksforgeeks.org/convert-normal-bst-balanced-bst/" TargetMode="External"/><Relationship Id="rId244" Type="http://schemas.openxmlformats.org/officeDocument/2006/relationships/hyperlink" Target="https://www.spoj.com/problems/ARRANGE/" TargetMode="External"/><Relationship Id="rId39" Type="http://schemas.openxmlformats.org/officeDocument/2006/relationships/hyperlink" Target="https://practice.geeksforgeeks.org/problems/median-in-a-row-wise-sorted-matrix1527/1" TargetMode="External"/><Relationship Id="rId286" Type="http://schemas.openxmlformats.org/officeDocument/2006/relationships/hyperlink" Target="https://practice.geeksforgeeks.org/problems/valid-substring0624/1" TargetMode="External"/><Relationship Id="rId451" Type="http://schemas.openxmlformats.org/officeDocument/2006/relationships/hyperlink" Target="https://leetcode.com/problems/additive-number/" TargetMode="External"/><Relationship Id="rId493" Type="http://schemas.openxmlformats.org/officeDocument/2006/relationships/hyperlink" Target="https://leetcode.com/problems/merge-two-sorted-lists/" TargetMode="External"/><Relationship Id="rId507" Type="http://schemas.openxmlformats.org/officeDocument/2006/relationships/hyperlink" Target="https://leetcode.com/problems/partition-array-into-two-arrays-to-minimize-sum-difference/" TargetMode="External"/><Relationship Id="rId50" Type="http://schemas.openxmlformats.org/officeDocument/2006/relationships/hyperlink" Target="https://www.geeksforgeeks.org/a-program-to-check-if-strings-are-rotations-of-each-other/" TargetMode="External"/><Relationship Id="rId104" Type="http://schemas.openxmlformats.org/officeDocument/2006/relationships/hyperlink" Target="https://practice.geeksforgeeks.org/problems/minimum-swaps/1" TargetMode="External"/><Relationship Id="rId146" Type="http://schemas.openxmlformats.org/officeDocument/2006/relationships/hyperlink" Target="https://www.geeksforgeeks.org/sort-k-sorted-doubly-linked-list/" TargetMode="External"/><Relationship Id="rId188" Type="http://schemas.openxmlformats.org/officeDocument/2006/relationships/hyperlink" Target="https://practice.geeksforgeeks.org/problems/lowest-common-ancestor-in-a-binary-tree/1" TargetMode="External"/><Relationship Id="rId311" Type="http://schemas.openxmlformats.org/officeDocument/2006/relationships/hyperlink" Target="https://www.geeksforgeeks.org/kth-smallestlargest-element-unsorted-array/" TargetMode="External"/><Relationship Id="rId353" Type="http://schemas.openxmlformats.org/officeDocument/2006/relationships/hyperlink" Target="https://www.geeksforgeeks.org/find-longest-path-directed-acyclic-graph/" TargetMode="External"/><Relationship Id="rId395" Type="http://schemas.openxmlformats.org/officeDocument/2006/relationships/hyperlink" Target="https://www.geeksforgeeks.org/maximum-subsequence-sum-such-that-no-three-are-consecutive/" TargetMode="External"/><Relationship Id="rId409" Type="http://schemas.openxmlformats.org/officeDocument/2006/relationships/hyperlink" Target="https://www.geeksforgeeks.org/smallest-sum-contiguous-subarray/" TargetMode="External"/><Relationship Id="rId92" Type="http://schemas.openxmlformats.org/officeDocument/2006/relationships/hyperlink" Target="https://practice.geeksforgeeks.org/problems/count-squares3649/1" TargetMode="External"/><Relationship Id="rId213" Type="http://schemas.openxmlformats.org/officeDocument/2006/relationships/hyperlink" Target="https://practice.geeksforgeeks.org/problems/largest-bst/1" TargetMode="External"/><Relationship Id="rId420" Type="http://schemas.openxmlformats.org/officeDocument/2006/relationships/hyperlink" Target="https://www.geeksforgeeks.org/count-derangements-permutation-such-that-no-element-appears-in-its-original-position/" TargetMode="External"/><Relationship Id="rId255" Type="http://schemas.openxmlformats.org/officeDocument/2006/relationships/hyperlink" Target="https://practice.geeksforgeeks.org/problems/m-coloring-problem/0" TargetMode="External"/><Relationship Id="rId297" Type="http://schemas.openxmlformats.org/officeDocument/2006/relationships/hyperlink" Target="https://www.geeksforgeeks.org/interleave-first-half-queue-second-half/" TargetMode="External"/><Relationship Id="rId462" Type="http://schemas.openxmlformats.org/officeDocument/2006/relationships/hyperlink" Target="https://leetcode.com/problems/top-k-frequent-elements/" TargetMode="External"/><Relationship Id="rId518" Type="http://schemas.openxmlformats.org/officeDocument/2006/relationships/hyperlink" Target="https://leetcode.com/problems/permutation-in-string/" TargetMode="External"/><Relationship Id="rId115" Type="http://schemas.openxmlformats.org/officeDocument/2006/relationships/hyperlink" Target="https://practice.geeksforgeeks.org/problems/smallest-factorial-number5929/1" TargetMode="External"/><Relationship Id="rId157" Type="http://schemas.openxmlformats.org/officeDocument/2006/relationships/hyperlink" Target="https://practice.geeksforgeeks.org/problems/first-non-repeating-character-in-a-stream/0" TargetMode="External"/><Relationship Id="rId322" Type="http://schemas.openxmlformats.org/officeDocument/2006/relationships/hyperlink" Target="https://www.geeksforgeeks.org/convert-min-heap-to-max-heap/" TargetMode="External"/><Relationship Id="rId364" Type="http://schemas.openxmlformats.org/officeDocument/2006/relationships/hyperlink" Target="https://www.geeksforgeeks.org/vertex-cover-problem-set-1-introduction-approximate-algorithm-2/" TargetMode="External"/><Relationship Id="rId61" Type="http://schemas.openxmlformats.org/officeDocument/2006/relationships/hyperlink" Target="https://practice.geeksforgeeks.org/problems/parenthesis-checker/0" TargetMode="External"/><Relationship Id="rId199" Type="http://schemas.openxmlformats.org/officeDocument/2006/relationships/hyperlink" Target="https://practice.geeksforgeeks.org/problems/lowest-common-ancestor-in-a-bst/1" TargetMode="External"/><Relationship Id="rId19" Type="http://schemas.openxmlformats.org/officeDocument/2006/relationships/hyperlink" Target="https://practice.geeksforgeeks.org/problems/common-elements1132/1" TargetMode="External"/><Relationship Id="rId224" Type="http://schemas.openxmlformats.org/officeDocument/2006/relationships/hyperlink" Target="https://practice.geeksforgeeks.org/problems/shop-in-candy-store/0" TargetMode="External"/><Relationship Id="rId266" Type="http://schemas.openxmlformats.org/officeDocument/2006/relationships/hyperlink" Target="https://www.geeksforgeeks.org/print-all-possible-paths-from-top-left-to-bottom-right-of-a-mxn-matrix/" TargetMode="External"/><Relationship Id="rId431" Type="http://schemas.openxmlformats.org/officeDocument/2006/relationships/hyperlink" Target="https://www.geeksforgeeks.org/largest-area-rectangular-sub-matrix-equal-number-1s-0s/" TargetMode="External"/><Relationship Id="rId473" Type="http://schemas.openxmlformats.org/officeDocument/2006/relationships/hyperlink" Target="https://practice.geeksforgeeks.org/problems/perfect-sum-problem5633/1" TargetMode="External"/><Relationship Id="rId529" Type="http://schemas.openxmlformats.org/officeDocument/2006/relationships/hyperlink" Target="https://leetcode.com/problems/k-concatenation-maximum-sum/" TargetMode="External"/><Relationship Id="rId30" Type="http://schemas.openxmlformats.org/officeDocument/2006/relationships/hyperlink" Target="https://practice.geeksforgeeks.org/problems/chocolate-distribution-problem/0" TargetMode="External"/><Relationship Id="rId126" Type="http://schemas.openxmlformats.org/officeDocument/2006/relationships/hyperlink" Target="https://leetcode.com/problems/reverse-nodes-in-k-group/" TargetMode="External"/><Relationship Id="rId168" Type="http://schemas.openxmlformats.org/officeDocument/2006/relationships/hyperlink" Target="https://practice.geeksforgeeks.org/problems/top-view-of-binary-tree/1" TargetMode="External"/><Relationship Id="rId333" Type="http://schemas.openxmlformats.org/officeDocument/2006/relationships/hyperlink" Target="https://leetcode.com/problems/number-of-operations-to-make-network-connected/" TargetMode="External"/><Relationship Id="rId72" Type="http://schemas.openxmlformats.org/officeDocument/2006/relationships/hyperlink" Target="https://leetcode.com/problems/longest-common-prefix/" TargetMode="External"/><Relationship Id="rId375" Type="http://schemas.openxmlformats.org/officeDocument/2006/relationships/hyperlink" Target="https://practice.geeksforgeeks.org/problems/0-1-knapsack-problem/0" TargetMode="External"/><Relationship Id="rId3" Type="http://schemas.openxmlformats.org/officeDocument/2006/relationships/hyperlink" Target="https://practice.geeksforgeeks.org/problems/kth-smallest-element/0" TargetMode="External"/><Relationship Id="rId235" Type="http://schemas.openxmlformats.org/officeDocument/2006/relationships/hyperlink" Target="https://www.geeksforgeeks.org/program-for-shortest-job-first-or-sjf-cpu-scheduling-set-1-non-preemptive/" TargetMode="External"/><Relationship Id="rId277" Type="http://schemas.openxmlformats.org/officeDocument/2006/relationships/hyperlink" Target="https://practice.geeksforgeeks.org/problems/next-larger-element/0" TargetMode="External"/><Relationship Id="rId400" Type="http://schemas.openxmlformats.org/officeDocument/2006/relationships/hyperlink" Target="https://practice.geeksforgeeks.org/problems/path-in-matrix3805/1" TargetMode="External"/><Relationship Id="rId442" Type="http://schemas.openxmlformats.org/officeDocument/2006/relationships/hyperlink" Target="https://www.geeksforgeeks.org/divide-two-integers-without-using-multiplication-division-mod-operator/" TargetMode="External"/><Relationship Id="rId484" Type="http://schemas.openxmlformats.org/officeDocument/2006/relationships/hyperlink" Target="https://leetcode.com/problems/palindromic-substrings/" TargetMode="External"/><Relationship Id="rId137" Type="http://schemas.openxmlformats.org/officeDocument/2006/relationships/hyperlink" Target="https://leetcode.com/problems/sort-list/" TargetMode="External"/><Relationship Id="rId302" Type="http://schemas.openxmlformats.org/officeDocument/2006/relationships/hyperlink" Target="https://www.geeksforgeeks.org/check-if-all-levels-of-two-trees-are-anagrams-or-not/" TargetMode="External"/><Relationship Id="rId344" Type="http://schemas.openxmlformats.org/officeDocument/2006/relationships/hyperlink" Target="https://practice.geeksforgeeks.org/problems/negative-weight-cycle/0" TargetMode="External"/><Relationship Id="rId41" Type="http://schemas.openxmlformats.org/officeDocument/2006/relationships/hyperlink" Target="https://practice.geeksforgeeks.org/problems/sorted-matrix/0" TargetMode="External"/><Relationship Id="rId83" Type="http://schemas.openxmlformats.org/officeDocument/2006/relationships/hyperlink" Target="https://practice.geeksforgeeks.org/problems/consecutive-elements/0" TargetMode="External"/><Relationship Id="rId179" Type="http://schemas.openxmlformats.org/officeDocument/2006/relationships/hyperlink" Target="https://practice.geeksforgeeks.org/problems/sum-tree/1" TargetMode="External"/><Relationship Id="rId386" Type="http://schemas.openxmlformats.org/officeDocument/2006/relationships/hyperlink" Target="https://practice.geeksforgeeks.org/problems/cutted-segments/0" TargetMode="External"/><Relationship Id="rId190" Type="http://schemas.openxmlformats.org/officeDocument/2006/relationships/hyperlink" Target="https://www.geeksforgeeks.org/kth-ancestor-node-binary-tree-set-2/" TargetMode="External"/><Relationship Id="rId204" Type="http://schemas.openxmlformats.org/officeDocument/2006/relationships/hyperlink" Target="https://practice.geeksforgeeks.org/problems/kth-largest-element-in-bst/1" TargetMode="External"/><Relationship Id="rId246" Type="http://schemas.openxmlformats.org/officeDocument/2006/relationships/hyperlink" Target="https://practice.geeksforgeeks.org/problems/minimum-cost-of-ropes/0" TargetMode="External"/><Relationship Id="rId288" Type="http://schemas.openxmlformats.org/officeDocument/2006/relationships/hyperlink" Target="https://practice.geeksforgeeks.org/problems/stack-using-two-queues/1" TargetMode="External"/><Relationship Id="rId411" Type="http://schemas.openxmlformats.org/officeDocument/2006/relationships/hyperlink" Target="https://practice.geeksforgeeks.org/problems/word-break/0" TargetMode="External"/><Relationship Id="rId453" Type="http://schemas.openxmlformats.org/officeDocument/2006/relationships/hyperlink" Target="https://leetcode.com/problems/counting-bits/" TargetMode="External"/><Relationship Id="rId509" Type="http://schemas.openxmlformats.org/officeDocument/2006/relationships/hyperlink" Target="https://leetcode.com/problems/gas-station/" TargetMode="External"/><Relationship Id="rId106" Type="http://schemas.openxmlformats.org/officeDocument/2006/relationships/hyperlink" Target="https://www.hackerearth.com/practice/algorithms/searching/binary-search/practice-problems/algorithm/rasta-and-kheshtak/" TargetMode="External"/><Relationship Id="rId313" Type="http://schemas.openxmlformats.org/officeDocument/2006/relationships/hyperlink" Target="https://practice.geeksforgeeks.org/problems/merge-two-binary-max-heap/0" TargetMode="External"/><Relationship Id="rId495" Type="http://schemas.openxmlformats.org/officeDocument/2006/relationships/hyperlink" Target="https://aaronhma.medium.com/algorithm-spotlight-floyds-cycle-detection-algorithm-996bd8fc2b91" TargetMode="External"/><Relationship Id="rId10" Type="http://schemas.openxmlformats.org/officeDocument/2006/relationships/hyperlink" Target="https://practice.geeksforgeeks.org/problems/minimum-number-of-jumps/0" TargetMode="External"/><Relationship Id="rId52" Type="http://schemas.openxmlformats.org/officeDocument/2006/relationships/hyperlink" Target="https://leetcode.com/problems/count-and-say/" TargetMode="External"/><Relationship Id="rId94" Type="http://schemas.openxmlformats.org/officeDocument/2006/relationships/hyperlink" Target="https://practice.geeksforgeeks.org/problems/find-missing-and-repeating2512/1" TargetMode="External"/><Relationship Id="rId148" Type="http://schemas.openxmlformats.org/officeDocument/2006/relationships/hyperlink" Target="https://www.geeksforgeeks.org/reverse-doubly-linked-list-groups-given-size/" TargetMode="External"/><Relationship Id="rId355" Type="http://schemas.openxmlformats.org/officeDocument/2006/relationships/hyperlink" Target="https://leetcode.com/problems/cheapest-flights-within-k-stops/description/" TargetMode="External"/><Relationship Id="rId397" Type="http://schemas.openxmlformats.org/officeDocument/2006/relationships/hyperlink" Target="https://practice.geeksforgeeks.org/problems/max-length-chain/1" TargetMode="External"/><Relationship Id="rId520" Type="http://schemas.openxmlformats.org/officeDocument/2006/relationships/hyperlink" Target="https://leetcode.com/problems/find-all-anagrams-in-a-string/" TargetMode="External"/><Relationship Id="rId215" Type="http://schemas.openxmlformats.org/officeDocument/2006/relationships/hyperlink" Target="https://practice.geeksforgeeks.org/problems/n-meetings-in-one-room/0" TargetMode="External"/><Relationship Id="rId257" Type="http://schemas.openxmlformats.org/officeDocument/2006/relationships/hyperlink" Target="https://practice.geeksforgeeks.org/problems/subset-sum-problem2014/1" TargetMode="External"/><Relationship Id="rId422" Type="http://schemas.openxmlformats.org/officeDocument/2006/relationships/hyperlink" Target="https://practice.geeksforgeeks.org/problems/optimal-strategy-for-a-game/0" TargetMode="External"/><Relationship Id="rId464" Type="http://schemas.openxmlformats.org/officeDocument/2006/relationships/hyperlink" Target="https://codeforces.com/contest/940/problem/C" TargetMode="External"/><Relationship Id="rId299" Type="http://schemas.openxmlformats.org/officeDocument/2006/relationships/hyperlink" Target="https://practice.geeksforgeeks.org/problems/rotten-oranges/0" TargetMode="External"/><Relationship Id="rId63" Type="http://schemas.openxmlformats.org/officeDocument/2006/relationships/hyperlink" Target="https://www.geeksforgeeks.org/rabin-karp-algorithm-for-pattern-searching/" TargetMode="External"/><Relationship Id="rId159" Type="http://schemas.openxmlformats.org/officeDocument/2006/relationships/hyperlink" Target="https://practice.geeksforgeeks.org/problems/reverse-level-order-traversal/1" TargetMode="External"/><Relationship Id="rId366" Type="http://schemas.openxmlformats.org/officeDocument/2006/relationships/hyperlink" Target="https://www.geeksforgeeks.org/minimize-cash-flow-among-given-set-friends-borrowed-money/" TargetMode="External"/><Relationship Id="rId226" Type="http://schemas.openxmlformats.org/officeDocument/2006/relationships/hyperlink" Target="https://www.geeksforgeeks.org/minimum-cost-cut-board-squares/" TargetMode="External"/><Relationship Id="rId433" Type="http://schemas.openxmlformats.org/officeDocument/2006/relationships/hyperlink" Target="https://practice.geeksforgeeks.org/problems/boolean-parenthesization/0" TargetMode="External"/><Relationship Id="rId74" Type="http://schemas.openxmlformats.org/officeDocument/2006/relationships/hyperlink" Target="https://practice.geeksforgeeks.org/problems/second-most-repeated-string-in-a-sequence/0" TargetMode="External"/><Relationship Id="rId377" Type="http://schemas.openxmlformats.org/officeDocument/2006/relationships/hyperlink" Target="https://www.geeksforgeeks.org/permutation-coefficient/" TargetMode="External"/><Relationship Id="rId500" Type="http://schemas.openxmlformats.org/officeDocument/2006/relationships/hyperlink" Target="https://leetcode.com/problems/reverse-linked-list-ii/" TargetMode="External"/><Relationship Id="rId5" Type="http://schemas.openxmlformats.org/officeDocument/2006/relationships/hyperlink" Target="https://www.geeksforgeeks.org/move-negative-numbers-beginning-positive-end-constant-extra-space/" TargetMode="External"/><Relationship Id="rId237" Type="http://schemas.openxmlformats.org/officeDocument/2006/relationships/hyperlink" Target="https://www.geeksforgeeks.org/smallest-subset-sum-greater-elements/"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leetcode.com/problems/generate-parentheses/" TargetMode="External"/><Relationship Id="rId299" Type="http://schemas.openxmlformats.org/officeDocument/2006/relationships/hyperlink" Target="https://leetcode.com/problems/as-far-from-land-as-possible/" TargetMode="External"/><Relationship Id="rId21" Type="http://schemas.openxmlformats.org/officeDocument/2006/relationships/hyperlink" Target="https://leetcode.com/problems/pascals-triangle/" TargetMode="External"/><Relationship Id="rId63" Type="http://schemas.openxmlformats.org/officeDocument/2006/relationships/hyperlink" Target="https://leetcode.com/problems/best-time-to-buy-and-sell-stock-iii/" TargetMode="External"/><Relationship Id="rId159" Type="http://schemas.openxmlformats.org/officeDocument/2006/relationships/hyperlink" Target="https://leetcode.com/problems/candy/" TargetMode="External"/><Relationship Id="rId324" Type="http://schemas.openxmlformats.org/officeDocument/2006/relationships/hyperlink" Target="https://leetcode.com/problems/partition-list/" TargetMode="External"/><Relationship Id="rId170" Type="http://schemas.openxmlformats.org/officeDocument/2006/relationships/hyperlink" Target="https://leetcode.com/problems/house-robber-iii/" TargetMode="External"/><Relationship Id="rId226" Type="http://schemas.openxmlformats.org/officeDocument/2006/relationships/hyperlink" Target="https://leetcode.com/problems/count-negative-numbers-in-a-sorted-matrix/" TargetMode="External"/><Relationship Id="rId268" Type="http://schemas.openxmlformats.org/officeDocument/2006/relationships/hyperlink" Target="https://www.youtube.com/watch?v=TunTV2-griM" TargetMode="External"/><Relationship Id="rId32" Type="http://schemas.openxmlformats.org/officeDocument/2006/relationships/hyperlink" Target="https://leetcode.com/problems/insert-delete-getrandom-o1/discuss/85422/AC-C%2B%2B-Solution.-Unordered_map-%2B-Vector" TargetMode="External"/><Relationship Id="rId74" Type="http://schemas.openxmlformats.org/officeDocument/2006/relationships/hyperlink" Target="https://leetcode.com/problems/word-break/" TargetMode="External"/><Relationship Id="rId128" Type="http://schemas.openxmlformats.org/officeDocument/2006/relationships/hyperlink" Target="https://leetcode.com/problems/smallest-range-covering-elements-from-k-lists/" TargetMode="External"/><Relationship Id="rId335" Type="http://schemas.openxmlformats.org/officeDocument/2006/relationships/hyperlink" Target="https://leetcode.com/problems/furthest-building-you-can-reach/" TargetMode="External"/><Relationship Id="rId5" Type="http://schemas.openxmlformats.org/officeDocument/2006/relationships/hyperlink" Target="https://leetcode.com/problems/merge-sorted-array/" TargetMode="External"/><Relationship Id="rId181" Type="http://schemas.openxmlformats.org/officeDocument/2006/relationships/hyperlink" Target="https://leetcode.com/problems/subtree-of-another-tree/" TargetMode="External"/><Relationship Id="rId237" Type="http://schemas.openxmlformats.org/officeDocument/2006/relationships/hyperlink" Target="https://leetcode.com/problems/median-of-two-sorted-arrays/" TargetMode="External"/><Relationship Id="rId279" Type="http://schemas.openxmlformats.org/officeDocument/2006/relationships/hyperlink" Target="https://www.youtube.com/watch?v=9-TXIVEXX2w" TargetMode="External"/><Relationship Id="rId43" Type="http://schemas.openxmlformats.org/officeDocument/2006/relationships/hyperlink" Target="https://leetcode.com/problems/4sum/" TargetMode="External"/><Relationship Id="rId139" Type="http://schemas.openxmlformats.org/officeDocument/2006/relationships/hyperlink" Target="https://leetcode.com/problems/power-of-two/" TargetMode="External"/><Relationship Id="rId290" Type="http://schemas.openxmlformats.org/officeDocument/2006/relationships/hyperlink" Target="https://leetcode.com/problems/evaluate-division/" TargetMode="External"/><Relationship Id="rId304" Type="http://schemas.openxmlformats.org/officeDocument/2006/relationships/hyperlink" Target="https://leetcode.com/problems/sum-of-two-integers/discuss/84278/A-summary%3A-how-to-use-bit-manipulation-to-solve-problems-easily-and-efficiently" TargetMode="External"/><Relationship Id="rId346" Type="http://schemas.openxmlformats.org/officeDocument/2006/relationships/hyperlink" Target="https://leetcode.com/problems/shortest-path-to-get-all-keys/" TargetMode="External"/><Relationship Id="rId85" Type="http://schemas.openxmlformats.org/officeDocument/2006/relationships/hyperlink" Target="https://leetcode.com/problems/knight-dialer/" TargetMode="External"/><Relationship Id="rId150" Type="http://schemas.openxmlformats.org/officeDocument/2006/relationships/hyperlink" Target="https://leetcode.com/problems/number-of-digit-one/" TargetMode="External"/><Relationship Id="rId192" Type="http://schemas.openxmlformats.org/officeDocument/2006/relationships/hyperlink" Target="https://leetcode.com/problems/sum-of-left-leaves/" TargetMode="External"/><Relationship Id="rId206" Type="http://schemas.openxmlformats.org/officeDocument/2006/relationships/hyperlink" Target="https://leetcode.com/problems/recover-binary-search-tree/" TargetMode="External"/><Relationship Id="rId248" Type="http://schemas.openxmlformats.org/officeDocument/2006/relationships/hyperlink" Target="https://leetcode.com/problems/word-ladder-ii/" TargetMode="External"/><Relationship Id="rId12" Type="http://schemas.openxmlformats.org/officeDocument/2006/relationships/hyperlink" Target="https://leetcode.com/problems/running-sum-of-1d-array/discuss/686261/JavaC%2B%2BPython-Array-Time-O(N)-Space-O(1)" TargetMode="External"/><Relationship Id="rId108" Type="http://schemas.openxmlformats.org/officeDocument/2006/relationships/hyperlink" Target="https://leetcode.com/problems/longest-common-prefix/" TargetMode="External"/><Relationship Id="rId315" Type="http://schemas.openxmlformats.org/officeDocument/2006/relationships/hyperlink" Target="https://leetcode.com/problems/palindrome-linked-list/" TargetMode="External"/><Relationship Id="rId54" Type="http://schemas.openxmlformats.org/officeDocument/2006/relationships/hyperlink" Target="https://leetcode.com/problems/k-diff-pairs-in-an-array/" TargetMode="External"/><Relationship Id="rId96" Type="http://schemas.openxmlformats.org/officeDocument/2006/relationships/hyperlink" Target="https://leetcode.com/problems/edit-distance/" TargetMode="External"/><Relationship Id="rId161" Type="http://schemas.openxmlformats.org/officeDocument/2006/relationships/hyperlink" Target="https://leetcode.com/problems/create-maximum-number/" TargetMode="External"/><Relationship Id="rId217" Type="http://schemas.openxmlformats.org/officeDocument/2006/relationships/hyperlink" Target="https://leetcode.com/problems/sum-of-distances-in-tree/" TargetMode="External"/><Relationship Id="rId259" Type="http://schemas.openxmlformats.org/officeDocument/2006/relationships/hyperlink" Target="https://leetcode.com/problems/permutations-ii/" TargetMode="External"/><Relationship Id="rId23" Type="http://schemas.openxmlformats.org/officeDocument/2006/relationships/hyperlink" Target="https://leetcode.com/problems/remove-duplicates-from-sorted-array/" TargetMode="External"/><Relationship Id="rId119" Type="http://schemas.openxmlformats.org/officeDocument/2006/relationships/hyperlink" Target="https://leetcode.com/problems/integer-to-roman/" TargetMode="External"/><Relationship Id="rId270" Type="http://schemas.openxmlformats.org/officeDocument/2006/relationships/hyperlink" Target="https://leetcode.com/problems/implement-queue-using-stacks/" TargetMode="External"/><Relationship Id="rId326" Type="http://schemas.openxmlformats.org/officeDocument/2006/relationships/hyperlink" Target="https://leetcode.com/problems/odd-even-linked-list/" TargetMode="External"/><Relationship Id="rId65" Type="http://schemas.openxmlformats.org/officeDocument/2006/relationships/hyperlink" Target="https://leetcode.com/problems/max-value-of-equation/" TargetMode="External"/><Relationship Id="rId130" Type="http://schemas.openxmlformats.org/officeDocument/2006/relationships/hyperlink" Target="https://leetcode.com/problems/reverse-integer/" TargetMode="External"/><Relationship Id="rId172" Type="http://schemas.openxmlformats.org/officeDocument/2006/relationships/hyperlink" Target="https://leetcode.com/problems/remove-invalid-parentheses/" TargetMode="External"/><Relationship Id="rId228" Type="http://schemas.openxmlformats.org/officeDocument/2006/relationships/hyperlink" Target="https://leetcode.com/problems/time-based-key-value-store/" TargetMode="External"/><Relationship Id="rId281" Type="http://schemas.openxmlformats.org/officeDocument/2006/relationships/hyperlink" Target="https://leetcode.com/problems/lru-cache/" TargetMode="External"/><Relationship Id="rId337" Type="http://schemas.openxmlformats.org/officeDocument/2006/relationships/hyperlink" Target="https://leetcode.com/problems/cheapest-flights-within-k-stops/" TargetMode="External"/><Relationship Id="rId34" Type="http://schemas.openxmlformats.org/officeDocument/2006/relationships/hyperlink" Target="https://leetcode.com/problems/subarray-sum-equals-k/discuss/301242/General-summary-of-what-kind-of-problem-can-cannot-solved-by-Two-Pointers" TargetMode="External"/><Relationship Id="rId76" Type="http://schemas.openxmlformats.org/officeDocument/2006/relationships/hyperlink" Target="https://leetcode.com/problems/delete-and-earn/" TargetMode="External"/><Relationship Id="rId141" Type="http://schemas.openxmlformats.org/officeDocument/2006/relationships/hyperlink" Target="https://leetcode.com/problems/string-to-integer-atoi/" TargetMode="External"/><Relationship Id="rId7" Type="http://schemas.openxmlformats.org/officeDocument/2006/relationships/hyperlink" Target="https://leetcode.com/problems/move-zeroes/" TargetMode="External"/><Relationship Id="rId183" Type="http://schemas.openxmlformats.org/officeDocument/2006/relationships/hyperlink" Target="https://leetcode.com/problems/symmetric-tree/" TargetMode="External"/><Relationship Id="rId239" Type="http://schemas.openxmlformats.org/officeDocument/2006/relationships/hyperlink" Target="https://leetcode.com/problems/max-sum-of-rectangle-no-larger-than-k/" TargetMode="External"/><Relationship Id="rId250" Type="http://schemas.openxmlformats.org/officeDocument/2006/relationships/hyperlink" Target="https://leetcode.com/problems/reachable-nodes-in-subdivided-graph/" TargetMode="External"/><Relationship Id="rId292" Type="http://schemas.openxmlformats.org/officeDocument/2006/relationships/hyperlink" Target="https://leetcode.com/problems/network-delay-time/" TargetMode="External"/><Relationship Id="rId306" Type="http://schemas.openxmlformats.org/officeDocument/2006/relationships/hyperlink" Target="https://leetcode.com/problems/middle-of-the-linked-list/" TargetMode="External"/><Relationship Id="rId45" Type="http://schemas.openxmlformats.org/officeDocument/2006/relationships/hyperlink" Target="https://leetcode.com/problems/find-the-duplicate-number/" TargetMode="External"/><Relationship Id="rId87" Type="http://schemas.openxmlformats.org/officeDocument/2006/relationships/hyperlink" Target="https://leetcode.com/problems/unique-paths/" TargetMode="External"/><Relationship Id="rId110" Type="http://schemas.openxmlformats.org/officeDocument/2006/relationships/hyperlink" Target="https://leetcode.com/problems/roman-to-integer/" TargetMode="External"/><Relationship Id="rId348" Type="http://schemas.openxmlformats.org/officeDocument/2006/relationships/hyperlink" Target="https://leetcode.com/problems/k-th-smallest-prime-fraction/" TargetMode="External"/><Relationship Id="rId152" Type="http://schemas.openxmlformats.org/officeDocument/2006/relationships/hyperlink" Target="https://leetcode.com/problems/gas-station/" TargetMode="External"/><Relationship Id="rId194" Type="http://schemas.openxmlformats.org/officeDocument/2006/relationships/hyperlink" Target="https://leetcode.com/problems/binary-tree-inorder-traversal/" TargetMode="External"/><Relationship Id="rId208" Type="http://schemas.openxmlformats.org/officeDocument/2006/relationships/hyperlink" Target="https://leetcode.com/problems/flatten-binary-tree-to-linked-list/" TargetMode="External"/><Relationship Id="rId261" Type="http://schemas.openxmlformats.org/officeDocument/2006/relationships/hyperlink" Target="https://leetcode.com/problems/beautiful-arrangement/" TargetMode="External"/><Relationship Id="rId14" Type="http://schemas.openxmlformats.org/officeDocument/2006/relationships/hyperlink" Target="https://leetcode.com/problems/find-pivot-index/discuss/411318/Java%3A-beats100-1ms-easy-understanding-solution" TargetMode="External"/><Relationship Id="rId56" Type="http://schemas.openxmlformats.org/officeDocument/2006/relationships/hyperlink" Target="https://www.youtube.com/watch?v=6BPurabdAl4" TargetMode="External"/><Relationship Id="rId317" Type="http://schemas.openxmlformats.org/officeDocument/2006/relationships/hyperlink" Target="https://leetcode.com/problems/add-two-numbers/" TargetMode="External"/><Relationship Id="rId98" Type="http://schemas.openxmlformats.org/officeDocument/2006/relationships/hyperlink" Target="https://leetcode.com/problems/frog-jump/" TargetMode="External"/><Relationship Id="rId121" Type="http://schemas.openxmlformats.org/officeDocument/2006/relationships/hyperlink" Target="https://leetcode.com/problems/simplify-path/" TargetMode="External"/><Relationship Id="rId163" Type="http://schemas.openxmlformats.org/officeDocument/2006/relationships/hyperlink" Target="https://leetcode.com/problems/course-schedule-ii/" TargetMode="External"/><Relationship Id="rId219" Type="http://schemas.openxmlformats.org/officeDocument/2006/relationships/hyperlink" Target="https://leetcode.com/problems/redundant-connection-ii/" TargetMode="External"/><Relationship Id="rId230" Type="http://schemas.openxmlformats.org/officeDocument/2006/relationships/hyperlink" Target="https://leetcode.com/problems/powx-n/" TargetMode="External"/><Relationship Id="rId251" Type="http://schemas.openxmlformats.org/officeDocument/2006/relationships/hyperlink" Target="https://leetcode.com/problems/partition-labels/" TargetMode="External"/><Relationship Id="rId25" Type="http://schemas.openxmlformats.org/officeDocument/2006/relationships/hyperlink" Target="https://leetcode.com/problems/merge-intervals/" TargetMode="External"/><Relationship Id="rId46" Type="http://schemas.openxmlformats.org/officeDocument/2006/relationships/hyperlink" Target="https://leetcode.com/problems/combination-sum/" TargetMode="External"/><Relationship Id="rId67" Type="http://schemas.openxmlformats.org/officeDocument/2006/relationships/hyperlink" Target="https://leetcode.com/problems/maximum-subarray/" TargetMode="External"/><Relationship Id="rId272" Type="http://schemas.openxmlformats.org/officeDocument/2006/relationships/hyperlink" Target="https://leetcode.com/problems/implement-stack-using-queues/" TargetMode="External"/><Relationship Id="rId293" Type="http://schemas.openxmlformats.org/officeDocument/2006/relationships/hyperlink" Target="https://leetcode.com/problems/find-eventual-safe-states/" TargetMode="External"/><Relationship Id="rId307" Type="http://schemas.openxmlformats.org/officeDocument/2006/relationships/hyperlink" Target="https://leetcode.com/problems/convert-binary-number-in-a-linked-list-to-integer/" TargetMode="External"/><Relationship Id="rId328" Type="http://schemas.openxmlformats.org/officeDocument/2006/relationships/hyperlink" Target="https://leetcode.com/problems/swap-nodes-in-pairs/" TargetMode="External"/><Relationship Id="rId349" Type="http://schemas.openxmlformats.org/officeDocument/2006/relationships/hyperlink" Target="https://leetcode.com/problems/longest-substring-with-at-least-k-repeating-characters/" TargetMode="External"/><Relationship Id="rId88" Type="http://schemas.openxmlformats.org/officeDocument/2006/relationships/hyperlink" Target="https://leetcode.com/problems/count-square-submatrices-with-all-ones/" TargetMode="External"/><Relationship Id="rId111" Type="http://schemas.openxmlformats.org/officeDocument/2006/relationships/hyperlink" Target="https://leetcode.com/problems/implement-strstr/" TargetMode="External"/><Relationship Id="rId132" Type="http://schemas.openxmlformats.org/officeDocument/2006/relationships/hyperlink" Target="https://leetcode.com/problems/palindrome-number/" TargetMode="External"/><Relationship Id="rId153" Type="http://schemas.openxmlformats.org/officeDocument/2006/relationships/hyperlink" Target="https://leetcode.com/problems/minimum-deletion-cost-to-avoid-repeating-letters/" TargetMode="External"/><Relationship Id="rId174" Type="http://schemas.openxmlformats.org/officeDocument/2006/relationships/hyperlink" Target="https://leetcode.com/problems/concatenated-words/" TargetMode="External"/><Relationship Id="rId195" Type="http://schemas.openxmlformats.org/officeDocument/2006/relationships/hyperlink" Target="https://leetcode.com/problems/count-good-nodes-in-binary-tree/" TargetMode="External"/><Relationship Id="rId209" Type="http://schemas.openxmlformats.org/officeDocument/2006/relationships/hyperlink" Target="https://leetcode.com/problems/maximum-width-of-binary-tree/" TargetMode="External"/><Relationship Id="rId220" Type="http://schemas.openxmlformats.org/officeDocument/2006/relationships/hyperlink" Target="https://leetcode.com/problems/verifying-an-alien-dictionary/" TargetMode="External"/><Relationship Id="rId241" Type="http://schemas.openxmlformats.org/officeDocument/2006/relationships/hyperlink" Target="https://leetcode.com/problems/shortest-subarray-with-sum-at-least-k/" TargetMode="External"/><Relationship Id="rId15" Type="http://schemas.openxmlformats.org/officeDocument/2006/relationships/hyperlink" Target="https://leetcode.com/problems/majority-element/" TargetMode="External"/><Relationship Id="rId36" Type="http://schemas.openxmlformats.org/officeDocument/2006/relationships/hyperlink" Target="https://leetcode.com/problems/spiral-matrix/" TargetMode="External"/><Relationship Id="rId57" Type="http://schemas.openxmlformats.org/officeDocument/2006/relationships/hyperlink" Target="https://leetcode.com/problems/invalid-transactions/" TargetMode="External"/><Relationship Id="rId262" Type="http://schemas.openxmlformats.org/officeDocument/2006/relationships/hyperlink" Target="https://leetcode.com/problems/subsets/" TargetMode="External"/><Relationship Id="rId283" Type="http://schemas.openxmlformats.org/officeDocument/2006/relationships/hyperlink" Target="https://leetcode.com/problems/design-underground-system/" TargetMode="External"/><Relationship Id="rId318" Type="http://schemas.openxmlformats.org/officeDocument/2006/relationships/hyperlink" Target="https://leetcode.com/problems/copy-list-with-random-pointer/" TargetMode="External"/><Relationship Id="rId339" Type="http://schemas.openxmlformats.org/officeDocument/2006/relationships/hyperlink" Target="https://leetcode.com/problems/ugly-number-ii/" TargetMode="External"/><Relationship Id="rId78" Type="http://schemas.openxmlformats.org/officeDocument/2006/relationships/hyperlink" Target="https://leetcode.com/problems/coin-change/" TargetMode="External"/><Relationship Id="rId99" Type="http://schemas.openxmlformats.org/officeDocument/2006/relationships/hyperlink" Target="https://leetcode.com/problems/best-time-to-buy-and-sell-stock-iv/" TargetMode="External"/><Relationship Id="rId101" Type="http://schemas.openxmlformats.org/officeDocument/2006/relationships/hyperlink" Target="https://leetcode.com/problems/burst-balloons/" TargetMode="External"/><Relationship Id="rId122" Type="http://schemas.openxmlformats.org/officeDocument/2006/relationships/hyperlink" Target="https://leetcode.com/problems/zigzag-conversion/" TargetMode="External"/><Relationship Id="rId143" Type="http://schemas.openxmlformats.org/officeDocument/2006/relationships/hyperlink" Target="https://leetcode.com/problems/angle-between-hands-of-a-clock/" TargetMode="External"/><Relationship Id="rId164" Type="http://schemas.openxmlformats.org/officeDocument/2006/relationships/hyperlink" Target="https://leetcode.com/problems/decode-string/" TargetMode="External"/><Relationship Id="rId185" Type="http://schemas.openxmlformats.org/officeDocument/2006/relationships/hyperlink" Target="https://leetcode.com/problems/merge-two-binary-trees/" TargetMode="External"/><Relationship Id="rId350" Type="http://schemas.openxmlformats.org/officeDocument/2006/relationships/hyperlink" Target="https://leetcode.com/problems/max-consecutive-ones-iii/" TargetMode="External"/><Relationship Id="rId9" Type="http://schemas.openxmlformats.org/officeDocument/2006/relationships/hyperlink" Target="https://leetcode.com/problems/best-time-to-buy-and-sell-stock-ii/" TargetMode="External"/><Relationship Id="rId210" Type="http://schemas.openxmlformats.org/officeDocument/2006/relationships/hyperlink" Target="https://leetcode.com/problems/unique-binary-search-trees-ii/" TargetMode="External"/><Relationship Id="rId26" Type="http://schemas.openxmlformats.org/officeDocument/2006/relationships/hyperlink" Target="https://leetcode.com/problems/merge-intervals/discuss/21222/A-simple-Java-solution" TargetMode="External"/><Relationship Id="rId231" Type="http://schemas.openxmlformats.org/officeDocument/2006/relationships/hyperlink" Target="https://leetcode.com/problems/find-first-and-last-position-of-element-in-sorted-array/" TargetMode="External"/><Relationship Id="rId252" Type="http://schemas.openxmlformats.org/officeDocument/2006/relationships/hyperlink" Target="https://leetcode.com/problems/sort-colors/" TargetMode="External"/><Relationship Id="rId273" Type="http://schemas.openxmlformats.org/officeDocument/2006/relationships/hyperlink" Target="https://leetcode.com/problems/implement-stack-using-queues/" TargetMode="External"/><Relationship Id="rId294" Type="http://schemas.openxmlformats.org/officeDocument/2006/relationships/hyperlink" Target="https://leetcode.com/problems/keys-and-rooms/" TargetMode="External"/><Relationship Id="rId308" Type="http://schemas.openxmlformats.org/officeDocument/2006/relationships/hyperlink" Target="https://leetcode.com/problems/design-hashset/" TargetMode="External"/><Relationship Id="rId329" Type="http://schemas.openxmlformats.org/officeDocument/2006/relationships/hyperlink" Target="https://leetcode.com/problems/rotate-list/" TargetMode="External"/><Relationship Id="rId47" Type="http://schemas.openxmlformats.org/officeDocument/2006/relationships/hyperlink" Target="https://www.youtube.com/watch?v=yEAHwSS8HN0" TargetMode="External"/><Relationship Id="rId68" Type="http://schemas.openxmlformats.org/officeDocument/2006/relationships/hyperlink" Target="https://leetcode.com/problems/climbing-stairs" TargetMode="External"/><Relationship Id="rId89" Type="http://schemas.openxmlformats.org/officeDocument/2006/relationships/hyperlink" Target="https://leetcode.com/problems/range-sum-query-2d-immutable/" TargetMode="External"/><Relationship Id="rId112" Type="http://schemas.openxmlformats.org/officeDocument/2006/relationships/hyperlink" Target="https://leetcode.com/problems/longest-substring-without-repeating-characters/" TargetMode="External"/><Relationship Id="rId133" Type="http://schemas.openxmlformats.org/officeDocument/2006/relationships/hyperlink" Target="https://leetcode.com/problems/minimum-moves-to-equal-array-elements/" TargetMode="External"/><Relationship Id="rId154" Type="http://schemas.openxmlformats.org/officeDocument/2006/relationships/hyperlink" Target="https://leetcode.com/problems/maximum-number-of-events-that-can-be-attended/" TargetMode="External"/><Relationship Id="rId175" Type="http://schemas.openxmlformats.org/officeDocument/2006/relationships/hyperlink" Target="https://leetcode.com/problems/making-a-large-island/" TargetMode="External"/><Relationship Id="rId340" Type="http://schemas.openxmlformats.org/officeDocument/2006/relationships/hyperlink" Target="https://leetcode.com/problems/merge-k-sorted-lists/" TargetMode="External"/><Relationship Id="rId196" Type="http://schemas.openxmlformats.org/officeDocument/2006/relationships/hyperlink" Target="https://leetcode.com/problems/lowest-common-ancestor-of-a-binary-tree/" TargetMode="External"/><Relationship Id="rId200" Type="http://schemas.openxmlformats.org/officeDocument/2006/relationships/hyperlink" Target="https://leetcode.com/problems/binary-tree-zigzag-level-order-traversal/" TargetMode="External"/><Relationship Id="rId16" Type="http://schemas.openxmlformats.org/officeDocument/2006/relationships/hyperlink" Target="https://www.youtube.com/watch?v=PqU48t80rn8" TargetMode="External"/><Relationship Id="rId221" Type="http://schemas.openxmlformats.org/officeDocument/2006/relationships/hyperlink" Target="https://leetcode.com/problems/design-hashmap/" TargetMode="External"/><Relationship Id="rId242" Type="http://schemas.openxmlformats.org/officeDocument/2006/relationships/hyperlink" Target="https://leetcode.com/problems/number-of-islands/" TargetMode="External"/><Relationship Id="rId263" Type="http://schemas.openxmlformats.org/officeDocument/2006/relationships/hyperlink" Target="https://leetcode.com/problems/sudoku-solver/" TargetMode="External"/><Relationship Id="rId284" Type="http://schemas.openxmlformats.org/officeDocument/2006/relationships/hyperlink" Target="https://leetcode.com/problems/lfu-cache/" TargetMode="External"/><Relationship Id="rId319" Type="http://schemas.openxmlformats.org/officeDocument/2006/relationships/hyperlink" Target="https://leetcode.com/problems/add-two-numbers-ii/" TargetMode="External"/><Relationship Id="rId37" Type="http://schemas.openxmlformats.org/officeDocument/2006/relationships/hyperlink" Target="https://leetcode.com/problems/container-with-most-water/" TargetMode="External"/><Relationship Id="rId58" Type="http://schemas.openxmlformats.org/officeDocument/2006/relationships/hyperlink" Target="https://leetcode.com/problems/jump-game/" TargetMode="External"/><Relationship Id="rId79" Type="http://schemas.openxmlformats.org/officeDocument/2006/relationships/hyperlink" Target="https://leetcode.com/problems/maximum-product-subarray/" TargetMode="External"/><Relationship Id="rId102" Type="http://schemas.openxmlformats.org/officeDocument/2006/relationships/hyperlink" Target="https://leetcode.com/problems/minimum-cost-to-merge-stones/" TargetMode="External"/><Relationship Id="rId123" Type="http://schemas.openxmlformats.org/officeDocument/2006/relationships/hyperlink" Target="https://leetcode.com/problems/text-justification/" TargetMode="External"/><Relationship Id="rId144" Type="http://schemas.openxmlformats.org/officeDocument/2006/relationships/hyperlink" Target="https://leetcode.com/problems/integer-break/" TargetMode="External"/><Relationship Id="rId330" Type="http://schemas.openxmlformats.org/officeDocument/2006/relationships/hyperlink" Target="https://leetcode.com/problems/merge-k-sorted-lists/" TargetMode="External"/><Relationship Id="rId90" Type="http://schemas.openxmlformats.org/officeDocument/2006/relationships/hyperlink" Target="https://leetcode.com/problems/longest-arithmetic-subsequence/" TargetMode="External"/><Relationship Id="rId165" Type="http://schemas.openxmlformats.org/officeDocument/2006/relationships/hyperlink" Target="https://leetcode.com/problems/number-of-provinces/" TargetMode="External"/><Relationship Id="rId186" Type="http://schemas.openxmlformats.org/officeDocument/2006/relationships/hyperlink" Target="https://leetcode.com/problems/maximum-depth-of-binary-tree/" TargetMode="External"/><Relationship Id="rId351" Type="http://schemas.openxmlformats.org/officeDocument/2006/relationships/hyperlink" Target="https://leetcode.com/problems/grumpy-bookstore-owner/" TargetMode="External"/><Relationship Id="rId211" Type="http://schemas.openxmlformats.org/officeDocument/2006/relationships/hyperlink" Target="https://leetcode.com/problems/kth-smallest-element-in-a-bst/" TargetMode="External"/><Relationship Id="rId232" Type="http://schemas.openxmlformats.org/officeDocument/2006/relationships/hyperlink" Target="https://leetcode.com/problems/find-peak-element/" TargetMode="External"/><Relationship Id="rId253" Type="http://schemas.openxmlformats.org/officeDocument/2006/relationships/hyperlink" Target="https://leetcode.com/problems/longest-repeating-character-replacement/" TargetMode="External"/><Relationship Id="rId274" Type="http://schemas.openxmlformats.org/officeDocument/2006/relationships/hyperlink" Target="https://leetcode.com/problems/daily-temperatures/" TargetMode="External"/><Relationship Id="rId295" Type="http://schemas.openxmlformats.org/officeDocument/2006/relationships/hyperlink" Target="https://leetcode.com/problems/possible-bipartition/" TargetMode="External"/><Relationship Id="rId309" Type="http://schemas.openxmlformats.org/officeDocument/2006/relationships/hyperlink" Target="https://leetcode.com/problems/design-hashmap/" TargetMode="External"/><Relationship Id="rId27" Type="http://schemas.openxmlformats.org/officeDocument/2006/relationships/hyperlink" Target="https://leetcode.com/problems/3sum/" TargetMode="External"/><Relationship Id="rId48" Type="http://schemas.openxmlformats.org/officeDocument/2006/relationships/hyperlink" Target="https://leetcode.com/problems/jump-game-ii/" TargetMode="External"/><Relationship Id="rId69" Type="http://schemas.openxmlformats.org/officeDocument/2006/relationships/hyperlink" Target="https://leetcode.com/problems/divisor-game/" TargetMode="External"/><Relationship Id="rId113" Type="http://schemas.openxmlformats.org/officeDocument/2006/relationships/hyperlink" Target="https://leetcode.com/problems/minimum-remove-to-make-valid-parentheses/" TargetMode="External"/><Relationship Id="rId134" Type="http://schemas.openxmlformats.org/officeDocument/2006/relationships/hyperlink" Target="https://leetcode.com/problems/happy-number/" TargetMode="External"/><Relationship Id="rId320" Type="http://schemas.openxmlformats.org/officeDocument/2006/relationships/hyperlink" Target="https://leetcode.com/problems/reverse-linked-list-ii/" TargetMode="External"/><Relationship Id="rId80" Type="http://schemas.openxmlformats.org/officeDocument/2006/relationships/hyperlink" Target="https://leetcode.com/problems/maximum-length-of-repeated-subarray/" TargetMode="External"/><Relationship Id="rId155" Type="http://schemas.openxmlformats.org/officeDocument/2006/relationships/hyperlink" Target="https://leetcode.com/problems/minimum-deletions-to-make-character-frequencies-unique/" TargetMode="External"/><Relationship Id="rId176" Type="http://schemas.openxmlformats.org/officeDocument/2006/relationships/hyperlink" Target="https://leetcode.com/problems/contain-virus/" TargetMode="External"/><Relationship Id="rId197" Type="http://schemas.openxmlformats.org/officeDocument/2006/relationships/hyperlink" Target="https://leetcode.com/problems/binary-tree-right-side-view/" TargetMode="External"/><Relationship Id="rId341" Type="http://schemas.openxmlformats.org/officeDocument/2006/relationships/hyperlink" Target="https://leetcode.com/problems/sliding-window-maximum/" TargetMode="External"/><Relationship Id="rId201" Type="http://schemas.openxmlformats.org/officeDocument/2006/relationships/hyperlink" Target="https://leetcode.com/problems/binary-search-tree-iterator/" TargetMode="External"/><Relationship Id="rId222" Type="http://schemas.openxmlformats.org/officeDocument/2006/relationships/hyperlink" Target="https://leetcode.com/problems/top-k-frequent-elements/" TargetMode="External"/><Relationship Id="rId243" Type="http://schemas.openxmlformats.org/officeDocument/2006/relationships/hyperlink" Target="https://leetcode.com/problems/rotting-oranges/" TargetMode="External"/><Relationship Id="rId264" Type="http://schemas.openxmlformats.org/officeDocument/2006/relationships/hyperlink" Target="https://leetcode.com/problems/n-queens/" TargetMode="External"/><Relationship Id="rId285" Type="http://schemas.openxmlformats.org/officeDocument/2006/relationships/hyperlink" Target="https://leetcode.com/problems/tweet-counts-per-frequency/" TargetMode="External"/><Relationship Id="rId17" Type="http://schemas.openxmlformats.org/officeDocument/2006/relationships/hyperlink" Target="https://leetcode.com/problems/fibonacci-number/" TargetMode="External"/><Relationship Id="rId38" Type="http://schemas.openxmlformats.org/officeDocument/2006/relationships/hyperlink" Target="https://leetcode.com/problems/rotate-image/" TargetMode="External"/><Relationship Id="rId59" Type="http://schemas.openxmlformats.org/officeDocument/2006/relationships/hyperlink" Target="https://leetcode.com/problems/subarray-sums-divisible-by-k/" TargetMode="External"/><Relationship Id="rId103" Type="http://schemas.openxmlformats.org/officeDocument/2006/relationships/hyperlink" Target="https://leetcode.com/problems/minimum-insertion-steps-to-make-a-string-palindrome/" TargetMode="External"/><Relationship Id="rId124" Type="http://schemas.openxmlformats.org/officeDocument/2006/relationships/hyperlink" Target="https://leetcode.com/problems/integer-to-english-words/" TargetMode="External"/><Relationship Id="rId310" Type="http://schemas.openxmlformats.org/officeDocument/2006/relationships/hyperlink" Target="https://leetcode.com/problems/reverse-linked-list/" TargetMode="External"/><Relationship Id="rId70" Type="http://schemas.openxmlformats.org/officeDocument/2006/relationships/hyperlink" Target="https://www.youtube.com/watch?v=UbE4-ONpJcc" TargetMode="External"/><Relationship Id="rId91" Type="http://schemas.openxmlformats.org/officeDocument/2006/relationships/hyperlink" Target="https://leetcode.com/problems/trapping-rain-water/" TargetMode="External"/><Relationship Id="rId145" Type="http://schemas.openxmlformats.org/officeDocument/2006/relationships/hyperlink" Target="https://leetcode.com/problems/valid-square/" TargetMode="External"/><Relationship Id="rId166" Type="http://schemas.openxmlformats.org/officeDocument/2006/relationships/hyperlink" Target="https://leetcode.com/problems/clone-graph/" TargetMode="External"/><Relationship Id="rId187" Type="http://schemas.openxmlformats.org/officeDocument/2006/relationships/hyperlink" Target="https://leetcode.com/problems/binary-tree-paths/" TargetMode="External"/><Relationship Id="rId331" Type="http://schemas.openxmlformats.org/officeDocument/2006/relationships/hyperlink" Target="https://leetcode.com/problems/reverse-nodes-in-k-group/" TargetMode="External"/><Relationship Id="rId352" Type="http://schemas.openxmlformats.org/officeDocument/2006/relationships/hyperlink" Target="https://leetcode.com/problems/sliding-window-median/" TargetMode="External"/><Relationship Id="rId1" Type="http://schemas.openxmlformats.org/officeDocument/2006/relationships/hyperlink" Target="https://leetcode.com/problems/two-sum/" TargetMode="External"/><Relationship Id="rId212" Type="http://schemas.openxmlformats.org/officeDocument/2006/relationships/hyperlink" Target="https://leetcode.com/problems/redundant-connection/" TargetMode="External"/><Relationship Id="rId233" Type="http://schemas.openxmlformats.org/officeDocument/2006/relationships/hyperlink" Target="https://leetcode.com/problems/search-a-2d-matrix/" TargetMode="External"/><Relationship Id="rId254" Type="http://schemas.openxmlformats.org/officeDocument/2006/relationships/hyperlink" Target="https://leetcode.com/problems/maximum-number-of-visible-points/" TargetMode="External"/><Relationship Id="rId28" Type="http://schemas.openxmlformats.org/officeDocument/2006/relationships/hyperlink" Target="https://www.youtube.com/watch?v=TeegtfmEhTY" TargetMode="External"/><Relationship Id="rId49" Type="http://schemas.openxmlformats.org/officeDocument/2006/relationships/hyperlink" Target="https://www.youtube.com/watch?v=1DkVU2i3sOA" TargetMode="External"/><Relationship Id="rId114" Type="http://schemas.openxmlformats.org/officeDocument/2006/relationships/hyperlink" Target="https://leetcode.com/problems/longest-palindromic-substring/" TargetMode="External"/><Relationship Id="rId275" Type="http://schemas.openxmlformats.org/officeDocument/2006/relationships/hyperlink" Target="https://leetcode.com/problems/flatten-nested-list-iterator/" TargetMode="External"/><Relationship Id="rId296" Type="http://schemas.openxmlformats.org/officeDocument/2006/relationships/hyperlink" Target="https://leetcode.com/problems/most-stones-removed-with-same-row-or-column/" TargetMode="External"/><Relationship Id="rId300" Type="http://schemas.openxmlformats.org/officeDocument/2006/relationships/hyperlink" Target="https://leetcode.com/problems/number-of-closed-islands/" TargetMode="External"/><Relationship Id="rId60" Type="http://schemas.openxmlformats.org/officeDocument/2006/relationships/hyperlink" Target="https://leetcode.com/problems/first-missing-positive/" TargetMode="External"/><Relationship Id="rId81" Type="http://schemas.openxmlformats.org/officeDocument/2006/relationships/hyperlink" Target="https://leetcode.com/problems/palindromic-substrings/" TargetMode="External"/><Relationship Id="rId135" Type="http://schemas.openxmlformats.org/officeDocument/2006/relationships/hyperlink" Target="https://www.youtube.com/watch?v=ocDwEjRVDAk" TargetMode="External"/><Relationship Id="rId156" Type="http://schemas.openxmlformats.org/officeDocument/2006/relationships/hyperlink" Target="https://leetcode.com/problems/remove-k-digits/" TargetMode="External"/><Relationship Id="rId177" Type="http://schemas.openxmlformats.org/officeDocument/2006/relationships/hyperlink" Target="https://leetcode.com/problems/24-game/" TargetMode="External"/><Relationship Id="rId198" Type="http://schemas.openxmlformats.org/officeDocument/2006/relationships/hyperlink" Target="https://leetcode.com/problems/all-nodes-distance-k-in-binary-tree/" TargetMode="External"/><Relationship Id="rId321" Type="http://schemas.openxmlformats.org/officeDocument/2006/relationships/hyperlink" Target="https://leetcode.com/problems/reorder-list/" TargetMode="External"/><Relationship Id="rId342" Type="http://schemas.openxmlformats.org/officeDocument/2006/relationships/hyperlink" Target="https://leetcode.com/problems/the-skyline-problem/" TargetMode="External"/><Relationship Id="rId202" Type="http://schemas.openxmlformats.org/officeDocument/2006/relationships/hyperlink" Target="https://leetcode.com/problems/binary-tree-level-order-traversal/" TargetMode="External"/><Relationship Id="rId223" Type="http://schemas.openxmlformats.org/officeDocument/2006/relationships/hyperlink" Target="https://leetcode.com/problems/design-twitter/" TargetMode="External"/><Relationship Id="rId244" Type="http://schemas.openxmlformats.org/officeDocument/2006/relationships/hyperlink" Target="https://leetcode.com/problems/snakes-and-ladders/" TargetMode="External"/><Relationship Id="rId18" Type="http://schemas.openxmlformats.org/officeDocument/2006/relationships/hyperlink" Target="https://www.youtube.com/watch?v=MyFe2W2nIEE&amp;list=PLKZaSt2df1gxtem7J8QqY8m2bHliz8mPt" TargetMode="External"/><Relationship Id="rId39" Type="http://schemas.openxmlformats.org/officeDocument/2006/relationships/hyperlink" Target="https://leetcode.com/problems/word-search/" TargetMode="External"/><Relationship Id="rId265" Type="http://schemas.openxmlformats.org/officeDocument/2006/relationships/hyperlink" Target="https://leetcode.com/problems/unique-paths-iii/" TargetMode="External"/><Relationship Id="rId286" Type="http://schemas.openxmlformats.org/officeDocument/2006/relationships/hyperlink" Target="https://leetcode.com/problems/all-oone-data-structure/" TargetMode="External"/><Relationship Id="rId50" Type="http://schemas.openxmlformats.org/officeDocument/2006/relationships/hyperlink" Target="https://leetcode.com/problems/maximum-points-you-can-obtain-from-cards/" TargetMode="External"/><Relationship Id="rId104" Type="http://schemas.openxmlformats.org/officeDocument/2006/relationships/hyperlink" Target="https://leetcode.com/problems/super-egg-drop/" TargetMode="External"/><Relationship Id="rId125" Type="http://schemas.openxmlformats.org/officeDocument/2006/relationships/hyperlink" Target="https://leetcode.com/problems/minimum-window-substring/" TargetMode="External"/><Relationship Id="rId146" Type="http://schemas.openxmlformats.org/officeDocument/2006/relationships/hyperlink" Target="https://leetcode.com/problems/the-kth-factor-of-n/" TargetMode="External"/><Relationship Id="rId167" Type="http://schemas.openxmlformats.org/officeDocument/2006/relationships/hyperlink" Target="https://leetcode.com/problems/shortest-bridge/" TargetMode="External"/><Relationship Id="rId188" Type="http://schemas.openxmlformats.org/officeDocument/2006/relationships/hyperlink" Target="https://leetcode.com/problems/same-tree/" TargetMode="External"/><Relationship Id="rId311" Type="http://schemas.openxmlformats.org/officeDocument/2006/relationships/hyperlink" Target="https://leetcode.com/problems/merge-two-sorted-lists/" TargetMode="External"/><Relationship Id="rId332" Type="http://schemas.openxmlformats.org/officeDocument/2006/relationships/hyperlink" Target="https://leetcode.com/problems/k-closest-points-to-origin/" TargetMode="External"/><Relationship Id="rId353" Type="http://schemas.openxmlformats.org/officeDocument/2006/relationships/hyperlink" Target="https://leetcode.com/explore/learn/card/trie/" TargetMode="External"/><Relationship Id="rId71" Type="http://schemas.openxmlformats.org/officeDocument/2006/relationships/hyperlink" Target="https://leetcode.com/problems/counting-bits/" TargetMode="External"/><Relationship Id="rId92" Type="http://schemas.openxmlformats.org/officeDocument/2006/relationships/hyperlink" Target="https://leetcode.com/problems/word-break-ii/" TargetMode="External"/><Relationship Id="rId213" Type="http://schemas.openxmlformats.org/officeDocument/2006/relationships/hyperlink" Target="https://leetcode.com/problems/serialize-and-deserialize-binary-tree/" TargetMode="External"/><Relationship Id="rId234" Type="http://schemas.openxmlformats.org/officeDocument/2006/relationships/hyperlink" Target="https://leetcode.com/problems/divide-two-integers/" TargetMode="External"/><Relationship Id="rId2" Type="http://schemas.openxmlformats.org/officeDocument/2006/relationships/hyperlink" Target="https://www.youtube.com/watch?v=o2WOhGSfx_8" TargetMode="External"/><Relationship Id="rId29" Type="http://schemas.openxmlformats.org/officeDocument/2006/relationships/hyperlink" Target="https://leetcode.com/problems/product-of-array-except-self/" TargetMode="External"/><Relationship Id="rId255" Type="http://schemas.openxmlformats.org/officeDocument/2006/relationships/hyperlink" Target="https://leetcode.com/problems/subarrays-with-k-different-integers/" TargetMode="External"/><Relationship Id="rId276" Type="http://schemas.openxmlformats.org/officeDocument/2006/relationships/hyperlink" Target="https://leetcode.com/problems/online-stock-span/" TargetMode="External"/><Relationship Id="rId297" Type="http://schemas.openxmlformats.org/officeDocument/2006/relationships/hyperlink" Target="https://leetcode.com/problems/regions-cut-by-slashes/" TargetMode="External"/><Relationship Id="rId40" Type="http://schemas.openxmlformats.org/officeDocument/2006/relationships/hyperlink" Target="https://leetcode.com/problems/3sum-closest/" TargetMode="External"/><Relationship Id="rId115" Type="http://schemas.openxmlformats.org/officeDocument/2006/relationships/hyperlink" Target="https://leetcode.com/problems/group-anagrams/" TargetMode="External"/><Relationship Id="rId136" Type="http://schemas.openxmlformats.org/officeDocument/2006/relationships/hyperlink" Target="https://leetcode.com/problems/excel-sheet-column-title/" TargetMode="External"/><Relationship Id="rId157" Type="http://schemas.openxmlformats.org/officeDocument/2006/relationships/hyperlink" Target="https://leetcode.com/problems/restore-the-array-from-adjacent-pairs/" TargetMode="External"/><Relationship Id="rId178" Type="http://schemas.openxmlformats.org/officeDocument/2006/relationships/hyperlink" Target="https://leetcode.com/problems/remove-boxes/" TargetMode="External"/><Relationship Id="rId301" Type="http://schemas.openxmlformats.org/officeDocument/2006/relationships/hyperlink" Target="https://leetcode.com/problems/number-of-operations-to-make-network-connected/" TargetMode="External"/><Relationship Id="rId322" Type="http://schemas.openxmlformats.org/officeDocument/2006/relationships/hyperlink" Target="https://leetcode.com/problems/remove-nth-node-from-end-of-list/" TargetMode="External"/><Relationship Id="rId343" Type="http://schemas.openxmlformats.org/officeDocument/2006/relationships/hyperlink" Target="https://leetcode.com/problems/trapping-rain-water-ii/" TargetMode="External"/><Relationship Id="rId61" Type="http://schemas.openxmlformats.org/officeDocument/2006/relationships/hyperlink" Target="https://leetcode.com/problems/largest-rectangle-in-histogram/" TargetMode="External"/><Relationship Id="rId82" Type="http://schemas.openxmlformats.org/officeDocument/2006/relationships/hyperlink" Target="https://leetcode.com/problems/house-robber/" TargetMode="External"/><Relationship Id="rId199" Type="http://schemas.openxmlformats.org/officeDocument/2006/relationships/hyperlink" Target="https://leetcode.com/problems/validate-binary-search-tree/" TargetMode="External"/><Relationship Id="rId203" Type="http://schemas.openxmlformats.org/officeDocument/2006/relationships/hyperlink" Target="https://leetcode.com/problems/path-sum-iii/" TargetMode="External"/><Relationship Id="rId19" Type="http://schemas.openxmlformats.org/officeDocument/2006/relationships/hyperlink" Target="https://leetcode.com/problems/squares-of-a-sorted-array/" TargetMode="External"/><Relationship Id="rId224" Type="http://schemas.openxmlformats.org/officeDocument/2006/relationships/hyperlink" Target="https://leetcode.com/problems/sqrtx/" TargetMode="External"/><Relationship Id="rId245" Type="http://schemas.openxmlformats.org/officeDocument/2006/relationships/hyperlink" Target="https://leetcode.com/problems/is-graph-bipartite/" TargetMode="External"/><Relationship Id="rId266" Type="http://schemas.openxmlformats.org/officeDocument/2006/relationships/hyperlink" Target="https://leetcode.com/problems/min-stack/" TargetMode="External"/><Relationship Id="rId287" Type="http://schemas.openxmlformats.org/officeDocument/2006/relationships/hyperlink" Target="https://leetcode.com/problems/design-browser-history/" TargetMode="External"/><Relationship Id="rId30" Type="http://schemas.openxmlformats.org/officeDocument/2006/relationships/hyperlink" Target="https://www.youtube.com/watch?v=3X9-qs1Lwe4" TargetMode="External"/><Relationship Id="rId105" Type="http://schemas.openxmlformats.org/officeDocument/2006/relationships/hyperlink" Target="https://leetcode.com/problems/count-different-palindromic-subsequences/" TargetMode="External"/><Relationship Id="rId126" Type="http://schemas.openxmlformats.org/officeDocument/2006/relationships/hyperlink" Target="https://leetcode.com/problems/valid-number/" TargetMode="External"/><Relationship Id="rId147" Type="http://schemas.openxmlformats.org/officeDocument/2006/relationships/hyperlink" Target="https://leetcode.com/problems/basic-calculator/" TargetMode="External"/><Relationship Id="rId168" Type="http://schemas.openxmlformats.org/officeDocument/2006/relationships/hyperlink" Target="https://leetcode.com/problems/all-paths-from-source-to-target/" TargetMode="External"/><Relationship Id="rId312" Type="http://schemas.openxmlformats.org/officeDocument/2006/relationships/hyperlink" Target="https://leetcode.com/problems/remove-duplicates-from-sorted-list/" TargetMode="External"/><Relationship Id="rId333" Type="http://schemas.openxmlformats.org/officeDocument/2006/relationships/hyperlink" Target="https://leetcode.com/problems/kth-largest-element-in-an-array/" TargetMode="External"/><Relationship Id="rId354" Type="http://schemas.openxmlformats.org/officeDocument/2006/relationships/hyperlink" Target="https://leetcode.com/articles/a-recursive-approach-to-segment-trees-range-sum-queries-lazy-propagation/" TargetMode="External"/><Relationship Id="rId51" Type="http://schemas.openxmlformats.org/officeDocument/2006/relationships/hyperlink" Target="https://leetcode.com/problems/maximum-area-of-a-piece-of-cake-after-horizontal-and-vertical-cuts/" TargetMode="External"/><Relationship Id="rId72" Type="http://schemas.openxmlformats.org/officeDocument/2006/relationships/hyperlink" Target="https://leetcode.com/problems/decode-ways/" TargetMode="External"/><Relationship Id="rId93" Type="http://schemas.openxmlformats.org/officeDocument/2006/relationships/hyperlink" Target="https://leetcode.com/problems/regular-expression-matching/" TargetMode="External"/><Relationship Id="rId189" Type="http://schemas.openxmlformats.org/officeDocument/2006/relationships/hyperlink" Target="https://leetcode.com/problems/lowest-common-ancestor-of-a-binary-search-tree/" TargetMode="External"/><Relationship Id="rId3" Type="http://schemas.openxmlformats.org/officeDocument/2006/relationships/hyperlink" Target="https://leetcode.com/problems/best-time-to-buy-and-sell-stock/" TargetMode="External"/><Relationship Id="rId214" Type="http://schemas.openxmlformats.org/officeDocument/2006/relationships/hyperlink" Target="https://leetcode.com/problems/binary-tree-maximum-path-sum/" TargetMode="External"/><Relationship Id="rId235" Type="http://schemas.openxmlformats.org/officeDocument/2006/relationships/hyperlink" Target="https://leetcode.com/problems/capacity-to-ship-packages-within-d-days/" TargetMode="External"/><Relationship Id="rId256" Type="http://schemas.openxmlformats.org/officeDocument/2006/relationships/hyperlink" Target="https://leetcode.com/problems/palindrome-partitioning/" TargetMode="External"/><Relationship Id="rId277" Type="http://schemas.openxmlformats.org/officeDocument/2006/relationships/hyperlink" Target="https://leetcode.com/problems/minimum-cost-tree-from-leaf-values/" TargetMode="External"/><Relationship Id="rId298" Type="http://schemas.openxmlformats.org/officeDocument/2006/relationships/hyperlink" Target="https://leetcode.com/problems/satisfiability-of-equality-equations/" TargetMode="External"/><Relationship Id="rId116" Type="http://schemas.openxmlformats.org/officeDocument/2006/relationships/hyperlink" Target="https://www.youtube.com/watch?v=NVIm5_TIqUs" TargetMode="External"/><Relationship Id="rId137" Type="http://schemas.openxmlformats.org/officeDocument/2006/relationships/hyperlink" Target="https://leetcode.com/problems/missing-number/" TargetMode="External"/><Relationship Id="rId158" Type="http://schemas.openxmlformats.org/officeDocument/2006/relationships/hyperlink" Target="https://leetcode.com/problems/non-overlapping-intervals/" TargetMode="External"/><Relationship Id="rId302" Type="http://schemas.openxmlformats.org/officeDocument/2006/relationships/hyperlink" Target="https://leetcode.com/problems/find-the-city-with-the-smallest-number-of-neighbors-at-a-threshold-distance/" TargetMode="External"/><Relationship Id="rId323" Type="http://schemas.openxmlformats.org/officeDocument/2006/relationships/hyperlink" Target="https://leetcode.com/problems/flatten-a-multilevel-doubly-linked-list/" TargetMode="External"/><Relationship Id="rId344" Type="http://schemas.openxmlformats.org/officeDocument/2006/relationships/hyperlink" Target="https://leetcode.com/problems/minimum-number-of-refueling-stops/" TargetMode="External"/><Relationship Id="rId20" Type="http://schemas.openxmlformats.org/officeDocument/2006/relationships/hyperlink" Target="https://leetcode.com/problems/squares-of-a-sorted-array/discuss/495394/C%2B%2B%3A-Simplest-one-pass-two-pointers" TargetMode="External"/><Relationship Id="rId41" Type="http://schemas.openxmlformats.org/officeDocument/2006/relationships/hyperlink" Target="https://leetcode.com/problems/game-of-life/" TargetMode="External"/><Relationship Id="rId62" Type="http://schemas.openxmlformats.org/officeDocument/2006/relationships/hyperlink" Target="https://leetcode.com/problems/insert-delete-getrandom-o1-duplicates-allowed/" TargetMode="External"/><Relationship Id="rId83" Type="http://schemas.openxmlformats.org/officeDocument/2006/relationships/hyperlink" Target="https://www.youtube.com/watch?v=8BdXDakKZEs" TargetMode="External"/><Relationship Id="rId179" Type="http://schemas.openxmlformats.org/officeDocument/2006/relationships/hyperlink" Target="https://leetcode.com/problems/diameter-of-binary-tree/" TargetMode="External"/><Relationship Id="rId190" Type="http://schemas.openxmlformats.org/officeDocument/2006/relationships/hyperlink" Target="https://leetcode.com/problems/path-sum/" TargetMode="External"/><Relationship Id="rId204" Type="http://schemas.openxmlformats.org/officeDocument/2006/relationships/hyperlink" Target="https://leetcode.com/problems/construct-binary-tree-from-preorder-and-postorder-traversal/" TargetMode="External"/><Relationship Id="rId225" Type="http://schemas.openxmlformats.org/officeDocument/2006/relationships/hyperlink" Target="https://leetcode.com/problems/binary-search/" TargetMode="External"/><Relationship Id="rId246" Type="http://schemas.openxmlformats.org/officeDocument/2006/relationships/hyperlink" Target="https://leetcode.com/problems/minimum-jumps-to-reach-home/" TargetMode="External"/><Relationship Id="rId267" Type="http://schemas.openxmlformats.org/officeDocument/2006/relationships/hyperlink" Target="https://leetcode.com/problems/next-greater-element-i/" TargetMode="External"/><Relationship Id="rId288" Type="http://schemas.openxmlformats.org/officeDocument/2006/relationships/hyperlink" Target="https://leetcode.com/problems/employee-importance/" TargetMode="External"/><Relationship Id="rId106" Type="http://schemas.openxmlformats.org/officeDocument/2006/relationships/hyperlink" Target="https://leetcode.com/problems/minimum-cost-to-cut-a-stick/" TargetMode="External"/><Relationship Id="rId127" Type="http://schemas.openxmlformats.org/officeDocument/2006/relationships/hyperlink" Target="https://leetcode.com/problems/distinct-subsequences/" TargetMode="External"/><Relationship Id="rId313" Type="http://schemas.openxmlformats.org/officeDocument/2006/relationships/hyperlink" Target="https://leetcode.com/problems/intersection-of-two-linked-lists/" TargetMode="External"/><Relationship Id="rId10" Type="http://schemas.openxmlformats.org/officeDocument/2006/relationships/hyperlink" Target="https://www.youtube.com/watch?v=3gtcRtvDCpA" TargetMode="External"/><Relationship Id="rId31" Type="http://schemas.openxmlformats.org/officeDocument/2006/relationships/hyperlink" Target="https://leetcode.com/problems/insert-delete-getrandom-o1/" TargetMode="External"/><Relationship Id="rId52" Type="http://schemas.openxmlformats.org/officeDocument/2006/relationships/hyperlink" Target="https://leetcode.com/problems/max-area-of-island/" TargetMode="External"/><Relationship Id="rId73" Type="http://schemas.openxmlformats.org/officeDocument/2006/relationships/hyperlink" Target="https://www.youtube.com/watch?v=N5i7ySYQcgM" TargetMode="External"/><Relationship Id="rId94" Type="http://schemas.openxmlformats.org/officeDocument/2006/relationships/hyperlink" Target="https://leetcode.com/problems/maximal-rectangle/" TargetMode="External"/><Relationship Id="rId148" Type="http://schemas.openxmlformats.org/officeDocument/2006/relationships/hyperlink" Target="https://leetcode.com/problems/max-points-on-a-line/" TargetMode="External"/><Relationship Id="rId169" Type="http://schemas.openxmlformats.org/officeDocument/2006/relationships/hyperlink" Target="https://leetcode.com/problems/surrounded-regions/" TargetMode="External"/><Relationship Id="rId334" Type="http://schemas.openxmlformats.org/officeDocument/2006/relationships/hyperlink" Target="https://leetcode.com/problems/reorganize-string/" TargetMode="External"/><Relationship Id="rId355" Type="http://schemas.openxmlformats.org/officeDocument/2006/relationships/printerSettings" Target="../printerSettings/printerSettings2.bin"/><Relationship Id="rId4" Type="http://schemas.openxmlformats.org/officeDocument/2006/relationships/hyperlink" Target="https://www.youtube.com/watch?v=XIWykOHE1SE" TargetMode="External"/><Relationship Id="rId180" Type="http://schemas.openxmlformats.org/officeDocument/2006/relationships/hyperlink" Target="https://leetcode.com/problems/invert-binary-tree/" TargetMode="External"/><Relationship Id="rId215" Type="http://schemas.openxmlformats.org/officeDocument/2006/relationships/hyperlink" Target="https://leetcode.com/problems/vertical-order-traversal-of-a-binary-tree/" TargetMode="External"/><Relationship Id="rId236" Type="http://schemas.openxmlformats.org/officeDocument/2006/relationships/hyperlink" Target="https://leetcode.com/problems/minimum-limit-of-balls-in-a-bag/" TargetMode="External"/><Relationship Id="rId257" Type="http://schemas.openxmlformats.org/officeDocument/2006/relationships/hyperlink" Target="https://leetcode.com/problems/combination-sum-ii/" TargetMode="External"/><Relationship Id="rId278" Type="http://schemas.openxmlformats.org/officeDocument/2006/relationships/hyperlink" Target="https://leetcode.com/problems/sum-of-subarray-minimums/" TargetMode="External"/><Relationship Id="rId303" Type="http://schemas.openxmlformats.org/officeDocument/2006/relationships/hyperlink" Target="https://leetcode.com/problems/time-needed-to-inform-all-employees/" TargetMode="External"/><Relationship Id="rId42" Type="http://schemas.openxmlformats.org/officeDocument/2006/relationships/hyperlink" Target="https://leetcode.com/problems/pairs-of-songs-with-total-durations-divisible-by-60/" TargetMode="External"/><Relationship Id="rId84" Type="http://schemas.openxmlformats.org/officeDocument/2006/relationships/hyperlink" Target="https://leetcode.com/problems/continuous-subarray-sum/" TargetMode="External"/><Relationship Id="rId138" Type="http://schemas.openxmlformats.org/officeDocument/2006/relationships/hyperlink" Target="https://leetcode.com/problems/maximum-product-of-three-numbers/" TargetMode="External"/><Relationship Id="rId345" Type="http://schemas.openxmlformats.org/officeDocument/2006/relationships/hyperlink" Target="https://leetcode.com/problems/swim-in-rising-water/" TargetMode="External"/><Relationship Id="rId191" Type="http://schemas.openxmlformats.org/officeDocument/2006/relationships/hyperlink" Target="https://leetcode.com/problems/minimum-absolute-difference-in-bst/" TargetMode="External"/><Relationship Id="rId205" Type="http://schemas.openxmlformats.org/officeDocument/2006/relationships/hyperlink" Target="https://leetcode.com/problems/unique-binary-search-trees/" TargetMode="External"/><Relationship Id="rId247" Type="http://schemas.openxmlformats.org/officeDocument/2006/relationships/hyperlink" Target="https://leetcode.com/problems/word-ladder/" TargetMode="External"/><Relationship Id="rId107" Type="http://schemas.openxmlformats.org/officeDocument/2006/relationships/hyperlink" Target="https://leetcode.com/problems/add-strings/" TargetMode="External"/><Relationship Id="rId289" Type="http://schemas.openxmlformats.org/officeDocument/2006/relationships/hyperlink" Target="https://leetcode.com/problems/find-the-town-judge/" TargetMode="External"/><Relationship Id="rId11" Type="http://schemas.openxmlformats.org/officeDocument/2006/relationships/hyperlink" Target="https://leetcode.com/problems/running-sum-of-1d-array/" TargetMode="External"/><Relationship Id="rId53" Type="http://schemas.openxmlformats.org/officeDocument/2006/relationships/hyperlink" Target="https://leetcode.com/problems/find-all-duplicates-in-an-array/" TargetMode="External"/><Relationship Id="rId149" Type="http://schemas.openxmlformats.org/officeDocument/2006/relationships/hyperlink" Target="https://leetcode.com/problems/permutation-sequence/" TargetMode="External"/><Relationship Id="rId314" Type="http://schemas.openxmlformats.org/officeDocument/2006/relationships/hyperlink" Target="https://leetcode.com/problems/linked-list-cycle/" TargetMode="External"/><Relationship Id="rId95" Type="http://schemas.openxmlformats.org/officeDocument/2006/relationships/hyperlink" Target="https://leetcode.com/problems/longest-valid-parentheses/" TargetMode="External"/><Relationship Id="rId160" Type="http://schemas.openxmlformats.org/officeDocument/2006/relationships/hyperlink" Target="https://leetcode.com/problems/minimum-number-of-taps-to-open-to-water-a-garden/" TargetMode="External"/><Relationship Id="rId216" Type="http://schemas.openxmlformats.org/officeDocument/2006/relationships/hyperlink" Target="https://leetcode.com/problems/binary-tree-cameras/" TargetMode="External"/><Relationship Id="rId258" Type="http://schemas.openxmlformats.org/officeDocument/2006/relationships/hyperlink" Target="https://leetcode.com/problems/combinations/" TargetMode="External"/><Relationship Id="rId22" Type="http://schemas.openxmlformats.org/officeDocument/2006/relationships/hyperlink" Target="https://leetcode.com/problems/pascals-triangle/discuss/38125/Solution-in-Java" TargetMode="External"/><Relationship Id="rId64" Type="http://schemas.openxmlformats.org/officeDocument/2006/relationships/hyperlink" Target="https://www.youtube.com/watch?v=YAWRyWJalM0" TargetMode="External"/><Relationship Id="rId118" Type="http://schemas.openxmlformats.org/officeDocument/2006/relationships/hyperlink" Target="https://leetcode.com/problems/basic-calculator-ii/" TargetMode="External"/><Relationship Id="rId325" Type="http://schemas.openxmlformats.org/officeDocument/2006/relationships/hyperlink" Target="https://leetcode.com/problems/remove-duplicates-from-sorted-list-ii/" TargetMode="External"/><Relationship Id="rId171" Type="http://schemas.openxmlformats.org/officeDocument/2006/relationships/hyperlink" Target="https://leetcode.com/problems/critical-connections-in-a-network/" TargetMode="External"/><Relationship Id="rId227" Type="http://schemas.openxmlformats.org/officeDocument/2006/relationships/hyperlink" Target="https://leetcode.com/problems/peak-index-in-a-mountain-array/" TargetMode="External"/><Relationship Id="rId269" Type="http://schemas.openxmlformats.org/officeDocument/2006/relationships/hyperlink" Target="https://leetcode.com/problems/backspace-string-compare/" TargetMode="External"/><Relationship Id="rId33" Type="http://schemas.openxmlformats.org/officeDocument/2006/relationships/hyperlink" Target="https://leetcode.com/problems/subarray-sum-equals-k/" TargetMode="External"/><Relationship Id="rId129" Type="http://schemas.openxmlformats.org/officeDocument/2006/relationships/hyperlink" Target="https://leetcode.com/problems/substring-with-concatenation-of-all-words/" TargetMode="External"/><Relationship Id="rId280" Type="http://schemas.openxmlformats.org/officeDocument/2006/relationships/hyperlink" Target="https://leetcode.com/problems/evaluate-reverse-polish-notation/" TargetMode="External"/><Relationship Id="rId336" Type="http://schemas.openxmlformats.org/officeDocument/2006/relationships/hyperlink" Target="https://leetcode.com/problems/kth-smallest-element-in-a-sorted-matrix/" TargetMode="External"/><Relationship Id="rId75" Type="http://schemas.openxmlformats.org/officeDocument/2006/relationships/hyperlink" Target="https://www.youtube.com/watch?v=_iIK7Gu7MNo" TargetMode="External"/><Relationship Id="rId140" Type="http://schemas.openxmlformats.org/officeDocument/2006/relationships/hyperlink" Target="https://leetcode.com/problems/encode-and-decode-tinyurl/" TargetMode="External"/><Relationship Id="rId182" Type="http://schemas.openxmlformats.org/officeDocument/2006/relationships/hyperlink" Target="https://leetcode.com/problems/range-sum-of-bst/" TargetMode="External"/><Relationship Id="rId6" Type="http://schemas.openxmlformats.org/officeDocument/2006/relationships/hyperlink" Target="https://www.youtube.com/watch?v=FyzWXlSMNoI" TargetMode="External"/><Relationship Id="rId238" Type="http://schemas.openxmlformats.org/officeDocument/2006/relationships/hyperlink" Target="https://leetcode.com/problems/count-of-smaller-numbers-after-self/" TargetMode="External"/><Relationship Id="rId291" Type="http://schemas.openxmlformats.org/officeDocument/2006/relationships/hyperlink" Target="https://leetcode.com/problems/accounts-merge/" TargetMode="External"/><Relationship Id="rId305" Type="http://schemas.openxmlformats.org/officeDocument/2006/relationships/hyperlink" Target="https://leetcode.com/problems/delete-node-in-a-linked-list/" TargetMode="External"/><Relationship Id="rId347" Type="http://schemas.openxmlformats.org/officeDocument/2006/relationships/hyperlink" Target="https://leetcode.com/problems/minimum-cost-to-hire-k-workers/" TargetMode="External"/><Relationship Id="rId44" Type="http://schemas.openxmlformats.org/officeDocument/2006/relationships/hyperlink" Target="https://www.youtube.com/watch?v=UG1C-otvF2U" TargetMode="External"/><Relationship Id="rId86" Type="http://schemas.openxmlformats.org/officeDocument/2006/relationships/hyperlink" Target="https://leetcode.com/problems/longest-increasing-subsequence/" TargetMode="External"/><Relationship Id="rId151" Type="http://schemas.openxmlformats.org/officeDocument/2006/relationships/hyperlink" Target="https://leetcode.com/problems/task-scheduler/" TargetMode="External"/><Relationship Id="rId193" Type="http://schemas.openxmlformats.org/officeDocument/2006/relationships/hyperlink" Target="https://leetcode.com/problems/balanced-binary-tree/" TargetMode="External"/><Relationship Id="rId207" Type="http://schemas.openxmlformats.org/officeDocument/2006/relationships/hyperlink" Target="https://leetcode.com/problems/populating-next-right-pointers-in-each-node/" TargetMode="External"/><Relationship Id="rId249" Type="http://schemas.openxmlformats.org/officeDocument/2006/relationships/hyperlink" Target="https://leetcode.com/problems/cut-off-trees-for-golf-event/" TargetMode="External"/><Relationship Id="rId13" Type="http://schemas.openxmlformats.org/officeDocument/2006/relationships/hyperlink" Target="https://leetcode.com/problems/find-pivot-index/" TargetMode="External"/><Relationship Id="rId109" Type="http://schemas.openxmlformats.org/officeDocument/2006/relationships/hyperlink" Target="https://leetcode.com/problems/valid-palindrome-ii/" TargetMode="External"/><Relationship Id="rId260" Type="http://schemas.openxmlformats.org/officeDocument/2006/relationships/hyperlink" Target="https://leetcode.com/problems/subsets-ii/" TargetMode="External"/><Relationship Id="rId316" Type="http://schemas.openxmlformats.org/officeDocument/2006/relationships/hyperlink" Target="https://leetcode.com/problems/remove-linked-list-elements/" TargetMode="External"/><Relationship Id="rId55" Type="http://schemas.openxmlformats.org/officeDocument/2006/relationships/hyperlink" Target="https://leetcode.com/problems/subsets/" TargetMode="External"/><Relationship Id="rId97" Type="http://schemas.openxmlformats.org/officeDocument/2006/relationships/hyperlink" Target="https://leetcode.com/problems/minimum-difficulty-of-a-job-schedule/" TargetMode="External"/><Relationship Id="rId120" Type="http://schemas.openxmlformats.org/officeDocument/2006/relationships/hyperlink" Target="https://leetcode.com/problems/reverse-words-in-a-string/" TargetMode="External"/><Relationship Id="rId162" Type="http://schemas.openxmlformats.org/officeDocument/2006/relationships/hyperlink" Target="https://leetcode.com/problems/letter-combinations-of-a-phone-number/" TargetMode="External"/><Relationship Id="rId218" Type="http://schemas.openxmlformats.org/officeDocument/2006/relationships/hyperlink" Target="https://leetcode.com/problems/number-of-ways-to-reconstruct-a-tree/" TargetMode="External"/><Relationship Id="rId271" Type="http://schemas.openxmlformats.org/officeDocument/2006/relationships/hyperlink" Target="https://www.youtube.com/watch?v=B9bSSOnc0CQ" TargetMode="External"/><Relationship Id="rId24" Type="http://schemas.openxmlformats.org/officeDocument/2006/relationships/hyperlink" Target="https://leetcode.com/problems/remove-duplicates-from-sorted-array/discuss/11782/Share-my-clean-C%2B%2B-code" TargetMode="External"/><Relationship Id="rId66" Type="http://schemas.openxmlformats.org/officeDocument/2006/relationships/hyperlink" Target="https://www.youtube.com/watch?v=hOTpn8jE9jI" TargetMode="External"/><Relationship Id="rId131" Type="http://schemas.openxmlformats.org/officeDocument/2006/relationships/hyperlink" Target="https://leetcode.com/problems/add-binary/" TargetMode="External"/><Relationship Id="rId327" Type="http://schemas.openxmlformats.org/officeDocument/2006/relationships/hyperlink" Target="https://leetcode.com/problems/sort-list/" TargetMode="External"/><Relationship Id="rId173" Type="http://schemas.openxmlformats.org/officeDocument/2006/relationships/hyperlink" Target="https://leetcode.com/problems/longest-increasing-path-in-a-matrix/" TargetMode="External"/><Relationship Id="rId229" Type="http://schemas.openxmlformats.org/officeDocument/2006/relationships/hyperlink" Target="https://leetcode.com/problems/search-in-rotated-sorted-array/" TargetMode="External"/><Relationship Id="rId240" Type="http://schemas.openxmlformats.org/officeDocument/2006/relationships/hyperlink" Target="https://leetcode.com/problems/split-array-largest-sum/" TargetMode="External"/><Relationship Id="rId35" Type="http://schemas.openxmlformats.org/officeDocument/2006/relationships/hyperlink" Target="https://leetcode.com/problems/next-permutation/" TargetMode="External"/><Relationship Id="rId77" Type="http://schemas.openxmlformats.org/officeDocument/2006/relationships/hyperlink" Target="https://leetcode.com/problems/maximal-square/" TargetMode="External"/><Relationship Id="rId100" Type="http://schemas.openxmlformats.org/officeDocument/2006/relationships/hyperlink" Target="https://www.youtube.com/watch?v=mFwf1YbH-Jk" TargetMode="External"/><Relationship Id="rId282" Type="http://schemas.openxmlformats.org/officeDocument/2006/relationships/hyperlink" Target="https://leetcode.com/problems/find-median-from-data-stream/" TargetMode="External"/><Relationship Id="rId338" Type="http://schemas.openxmlformats.org/officeDocument/2006/relationships/hyperlink" Target="https://leetcode.com/problems/find-the-most-competitive-subsequence/" TargetMode="External"/><Relationship Id="rId8" Type="http://schemas.openxmlformats.org/officeDocument/2006/relationships/hyperlink" Target="https://www.youtube.com/watch?v=mgzcjQ1x9Mw" TargetMode="External"/><Relationship Id="rId142" Type="http://schemas.openxmlformats.org/officeDocument/2006/relationships/hyperlink" Target="https://leetcode.com/problems/multiply-strings/" TargetMode="External"/><Relationship Id="rId184" Type="http://schemas.openxmlformats.org/officeDocument/2006/relationships/hyperlink" Target="https://leetcode.com/problems/convert-sorted-array-to-binary-search-tre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leetcode.com/problems/reconstruct-itinerary" TargetMode="External"/><Relationship Id="rId21" Type="http://schemas.openxmlformats.org/officeDocument/2006/relationships/hyperlink" Target="https://practice.geeksforgeeks.org/problems/kth-smallest-element/0" TargetMode="External"/><Relationship Id="rId63" Type="http://schemas.openxmlformats.org/officeDocument/2006/relationships/hyperlink" Target="https://leetcode.com/problems/minimum-cost-tree-from-leaf-values/" TargetMode="External"/><Relationship Id="rId159" Type="http://schemas.openxmlformats.org/officeDocument/2006/relationships/hyperlink" Target="https://www.geeksforgeeks.org/maximum-product-subset-array/" TargetMode="External"/><Relationship Id="rId170" Type="http://schemas.openxmlformats.org/officeDocument/2006/relationships/hyperlink" Target="https://practice.geeksforgeeks.org/problems/chocolate-distribution-problem/0" TargetMode="External"/><Relationship Id="rId226" Type="http://schemas.openxmlformats.org/officeDocument/2006/relationships/hyperlink" Target="https://www.geeksforgeeks.org/highway-billboard-problem/" TargetMode="External"/><Relationship Id="rId268" Type="http://schemas.openxmlformats.org/officeDocument/2006/relationships/hyperlink" Target="https://leetcode.com/problems/shortest-palindrome" TargetMode="External"/><Relationship Id="rId32" Type="http://schemas.openxmlformats.org/officeDocument/2006/relationships/hyperlink" Target="https://leetcode.com/problems/search-a-2d-matrix/" TargetMode="External"/><Relationship Id="rId74" Type="http://schemas.openxmlformats.org/officeDocument/2006/relationships/hyperlink" Target="https://leetcode.com/problems/binary-tree-maximum-path-sum/" TargetMode="External"/><Relationship Id="rId128" Type="http://schemas.openxmlformats.org/officeDocument/2006/relationships/hyperlink" Target="https://leetcode.com/problems/remove-max-number-of-edges-to-keep-graph-fully-traversable/" TargetMode="External"/><Relationship Id="rId5" Type="http://schemas.openxmlformats.org/officeDocument/2006/relationships/hyperlink" Target="https://leetcode.com/problems/next-greater-element-iii" TargetMode="External"/><Relationship Id="rId181" Type="http://schemas.openxmlformats.org/officeDocument/2006/relationships/hyperlink" Target="https://practice.geeksforgeeks.org/problems/rearrange-characters/0" TargetMode="External"/><Relationship Id="rId237" Type="http://schemas.openxmlformats.org/officeDocument/2006/relationships/hyperlink" Target="https://www.pepcoding.com/resources/data-structures-and-algorithms-in-java-levelup/dynamic-programming/count-distinct-subsequences-official/ojquestion" TargetMode="External"/><Relationship Id="rId279" Type="http://schemas.openxmlformats.org/officeDocument/2006/relationships/hyperlink" Target="https://www.geeksforgeeks.org/copy-set-bits-in-a-range/" TargetMode="External"/><Relationship Id="rId43" Type="http://schemas.openxmlformats.org/officeDocument/2006/relationships/hyperlink" Target="https://leetcode.com/problems/search-in-rotated-sorted-array-ii/" TargetMode="External"/><Relationship Id="rId139" Type="http://schemas.openxmlformats.org/officeDocument/2006/relationships/hyperlink" Target="https://leetcode.com/problems/the-skyline-problem/" TargetMode="External"/><Relationship Id="rId290" Type="http://schemas.openxmlformats.org/officeDocument/2006/relationships/hyperlink" Target="https://leetcode.com/problems/search-suggestions-system/" TargetMode="External"/><Relationship Id="rId85" Type="http://schemas.openxmlformats.org/officeDocument/2006/relationships/hyperlink" Target="https://leetcode.com/problems/closest-binary-search-tree-value/" TargetMode="External"/><Relationship Id="rId150" Type="http://schemas.openxmlformats.org/officeDocument/2006/relationships/hyperlink" Target="https://www.geeksforgeeks.org/maximum-trains-stoppage-can-provided/" TargetMode="External"/><Relationship Id="rId192" Type="http://schemas.openxmlformats.org/officeDocument/2006/relationships/hyperlink" Target="https://practice.geeksforgeeks.org/problems/subset-sum-problem2014/1" TargetMode="External"/><Relationship Id="rId206" Type="http://schemas.openxmlformats.org/officeDocument/2006/relationships/hyperlink" Target="https://leetcode.com/problems/longest-increasing-subsequence/" TargetMode="External"/><Relationship Id="rId248" Type="http://schemas.openxmlformats.org/officeDocument/2006/relationships/hyperlink" Target="https://leetcode.com/problems/palindrome-partitioning-ii/" TargetMode="External"/><Relationship Id="rId12" Type="http://schemas.openxmlformats.org/officeDocument/2006/relationships/hyperlink" Target="https://codeforces.com/contest/1497/problem/A" TargetMode="External"/><Relationship Id="rId33" Type="http://schemas.openxmlformats.org/officeDocument/2006/relationships/hyperlink" Target="https://practice.geeksforgeeks.org/problems/median-in-a-row-wise-sorted-matrix1527/1" TargetMode="External"/><Relationship Id="rId108" Type="http://schemas.openxmlformats.org/officeDocument/2006/relationships/hyperlink" Target="https://practice.geeksforgeeks.org/problems/euler-circuit-in-a-directed-graph/1" TargetMode="External"/><Relationship Id="rId129" Type="http://schemas.openxmlformats.org/officeDocument/2006/relationships/hyperlink" Target="https://leetcode.com/problems/graph-connectivity-with-threshold/" TargetMode="External"/><Relationship Id="rId280" Type="http://schemas.openxmlformats.org/officeDocument/2006/relationships/hyperlink" Target="https://www.geeksforgeeks.org/calculate-square-of-a-number-without-using-and-pow/" TargetMode="External"/><Relationship Id="rId54" Type="http://schemas.openxmlformats.org/officeDocument/2006/relationships/hyperlink" Target="https://www.geeksforgeeks.org/sort-k-sorted-doubly-linked-list/" TargetMode="External"/><Relationship Id="rId75" Type="http://schemas.openxmlformats.org/officeDocument/2006/relationships/hyperlink" Target="https://leetcode.com/problems/recover-binary-search-tree/" TargetMode="External"/><Relationship Id="rId96" Type="http://schemas.openxmlformats.org/officeDocument/2006/relationships/hyperlink" Target="https://leetcode.com/problems/number-of-enclaves" TargetMode="External"/><Relationship Id="rId140" Type="http://schemas.openxmlformats.org/officeDocument/2006/relationships/hyperlink" Target="https://leetcode.com/problems/trapping-rain-water-ii" TargetMode="External"/><Relationship Id="rId161" Type="http://schemas.openxmlformats.org/officeDocument/2006/relationships/hyperlink" Target="https://practice.geeksforgeeks.org/problems/maximize-sum-after-k-negations/0" TargetMode="External"/><Relationship Id="rId182" Type="http://schemas.openxmlformats.org/officeDocument/2006/relationships/hyperlink" Target="https://www.geeksforgeeks.org/find-maximum-sum-possible-equal-sum-three-stacks/" TargetMode="External"/><Relationship Id="rId217" Type="http://schemas.openxmlformats.org/officeDocument/2006/relationships/hyperlink" Target="https://www.geeksforgeeks.org/count-possible-ways-to-construct-buildings/" TargetMode="External"/><Relationship Id="rId6" Type="http://schemas.openxmlformats.org/officeDocument/2006/relationships/hyperlink" Target="https://leetcode.com/problems/max-chunks-to-make-sorted-ii" TargetMode="External"/><Relationship Id="rId238" Type="http://schemas.openxmlformats.org/officeDocument/2006/relationships/hyperlink" Target="https://www.pepcoding.com/resources/data-structures-and-algorithms-in-java-levelup/dynamic-programming/count-distinct-subsequences-official/ojquestion" TargetMode="External"/><Relationship Id="rId259" Type="http://schemas.openxmlformats.org/officeDocument/2006/relationships/hyperlink" Target="https://www.geeksforgeeks.org/shortest-common-supersequence/" TargetMode="External"/><Relationship Id="rId23" Type="http://schemas.openxmlformats.org/officeDocument/2006/relationships/hyperlink" Target="https://leetcode.com/problems/bulb-switcher-iii/" TargetMode="External"/><Relationship Id="rId119" Type="http://schemas.openxmlformats.org/officeDocument/2006/relationships/hyperlink" Target="https://practice.geeksforgeeks.org/problems/find-the-maximum-flow/0" TargetMode="External"/><Relationship Id="rId270" Type="http://schemas.openxmlformats.org/officeDocument/2006/relationships/hyperlink" Target="https://leetcode.com/problems/coin-change/" TargetMode="External"/><Relationship Id="rId291" Type="http://schemas.openxmlformats.org/officeDocument/2006/relationships/hyperlink" Target="https://leetcode.com/problems/k-th-smallest-in-lexicographical-order/" TargetMode="External"/><Relationship Id="rId44" Type="http://schemas.openxmlformats.org/officeDocument/2006/relationships/hyperlink" Target="https://leetcode.com/problems/find-minimum-in-rotated-sorted-array/" TargetMode="External"/><Relationship Id="rId65" Type="http://schemas.openxmlformats.org/officeDocument/2006/relationships/hyperlink" Target="https://leetcode.com/problems/populating-next-right-pointers-in-each-node/" TargetMode="External"/><Relationship Id="rId86" Type="http://schemas.openxmlformats.org/officeDocument/2006/relationships/hyperlink" Target="https://leetcode.com/problems/closest-binary-search-tree-value-ii/" TargetMode="External"/><Relationship Id="rId130" Type="http://schemas.openxmlformats.org/officeDocument/2006/relationships/hyperlink" Target="https://leetcode.com/problems/smallest-string-with-swaps/" TargetMode="External"/><Relationship Id="rId151" Type="http://schemas.openxmlformats.org/officeDocument/2006/relationships/hyperlink" Target="https://practice.geeksforgeeks.org/problems/minimum-platforms/0" TargetMode="External"/><Relationship Id="rId172" Type="http://schemas.openxmlformats.org/officeDocument/2006/relationships/hyperlink" Target="https://www.spoj.com/problems/DIEHARD/" TargetMode="External"/><Relationship Id="rId193" Type="http://schemas.openxmlformats.org/officeDocument/2006/relationships/hyperlink" Target="https://www.geeksforgeeks.org/the-knights-tour-problem-backtracking-1/" TargetMode="External"/><Relationship Id="rId207" Type="http://schemas.openxmlformats.org/officeDocument/2006/relationships/hyperlink" Target="https://leetcode.com/problems/longest-increasing-subsequence/" TargetMode="External"/><Relationship Id="rId228" Type="http://schemas.openxmlformats.org/officeDocument/2006/relationships/hyperlink" Target="https://www.geeksforgeeks.org/matrix-chain-multiplication-dp-8/" TargetMode="External"/><Relationship Id="rId249" Type="http://schemas.openxmlformats.org/officeDocument/2006/relationships/hyperlink" Target="https://www.geeksforgeeks.org/longest-bitonic-subsequence-dp-15/" TargetMode="External"/><Relationship Id="rId13" Type="http://schemas.openxmlformats.org/officeDocument/2006/relationships/hyperlink" Target="https://codeforces.com/contest/1497/problem/C1" TargetMode="External"/><Relationship Id="rId109" Type="http://schemas.openxmlformats.org/officeDocument/2006/relationships/hyperlink" Target="https://www.lintcode.com/en/old/problem/number-of-islands-ii/" TargetMode="External"/><Relationship Id="rId260" Type="http://schemas.openxmlformats.org/officeDocument/2006/relationships/hyperlink" Target="https://www.geeksforgeeks.org/shortest-common-supersequence/" TargetMode="External"/><Relationship Id="rId281" Type="http://schemas.openxmlformats.org/officeDocument/2006/relationships/hyperlink" Target="https://www.geeksforgeeks.org/calculate-square-of-a-number-without-using-and-pow/" TargetMode="External"/><Relationship Id="rId34" Type="http://schemas.openxmlformats.org/officeDocument/2006/relationships/hyperlink" Target="https://practice.geeksforgeeks.org/problems/row-with-max-1s0023/1" TargetMode="External"/><Relationship Id="rId55" Type="http://schemas.openxmlformats.org/officeDocument/2006/relationships/hyperlink" Target="https://www.geeksforgeeks.org/reverse-doubly-linked-list-groups-given-size/" TargetMode="External"/><Relationship Id="rId76" Type="http://schemas.openxmlformats.org/officeDocument/2006/relationships/hyperlink" Target="https://leetcode.com/problems/delete-node-in-a-bst/" TargetMode="External"/><Relationship Id="rId97" Type="http://schemas.openxmlformats.org/officeDocument/2006/relationships/hyperlink" Target="https://leetcode.com/problems/number-of-islands" TargetMode="External"/><Relationship Id="rId120" Type="http://schemas.openxmlformats.org/officeDocument/2006/relationships/hyperlink" Target="https://practice.geeksforgeeks.org/problems/maximum-bipartite-matching/1" TargetMode="External"/><Relationship Id="rId141" Type="http://schemas.openxmlformats.org/officeDocument/2006/relationships/hyperlink" Target="https://www.cnblogs.com/grandyang/p/8570939.html" TargetMode="External"/><Relationship Id="rId7" Type="http://schemas.openxmlformats.org/officeDocument/2006/relationships/hyperlink" Target="https://leetcode.com/problems/product-of-array-except-self" TargetMode="External"/><Relationship Id="rId162" Type="http://schemas.openxmlformats.org/officeDocument/2006/relationships/hyperlink" Target="https://practice.geeksforgeeks.org/problems/maximize-arrii-of-an-array/0" TargetMode="External"/><Relationship Id="rId183" Type="http://schemas.openxmlformats.org/officeDocument/2006/relationships/hyperlink" Target="https://www.geeksforgeeks.org/find-maximum-sum-possible-equal-sum-three-stacks/" TargetMode="External"/><Relationship Id="rId218" Type="http://schemas.openxmlformats.org/officeDocument/2006/relationships/hyperlink" Target="https://www.geeksforgeeks.org/count-possible-ways-to-construct-buildings/" TargetMode="External"/><Relationship Id="rId239" Type="http://schemas.openxmlformats.org/officeDocument/2006/relationships/hyperlink" Target="https://leetcode.com/problems/edit-distance/" TargetMode="External"/><Relationship Id="rId250" Type="http://schemas.openxmlformats.org/officeDocument/2006/relationships/hyperlink" Target="https://www.geeksforgeeks.org/probability-knight-remain-chessboard/" TargetMode="External"/><Relationship Id="rId271" Type="http://schemas.openxmlformats.org/officeDocument/2006/relationships/hyperlink" Target="https://leetcode.com/problems/coin-change-2/" TargetMode="External"/><Relationship Id="rId292" Type="http://schemas.openxmlformats.org/officeDocument/2006/relationships/hyperlink" Target="https://www.hackerrank.com/challenges/no-prefix-set/problem" TargetMode="External"/><Relationship Id="rId24" Type="http://schemas.openxmlformats.org/officeDocument/2006/relationships/hyperlink" Target="https://codeforces.com/problemset/problem/1270/B" TargetMode="External"/><Relationship Id="rId45" Type="http://schemas.openxmlformats.org/officeDocument/2006/relationships/hyperlink" Target="https://leetcode.com/problems/find-minimum-in-rotated-sorted-array-ii/" TargetMode="External"/><Relationship Id="rId66" Type="http://schemas.openxmlformats.org/officeDocument/2006/relationships/hyperlink" Target="https://leetcode.com/problems/sum-of-distances-in-tree/" TargetMode="External"/><Relationship Id="rId87" Type="http://schemas.openxmlformats.org/officeDocument/2006/relationships/hyperlink" Target="https://leetcode.com/problems/sum-root-to-leaf-numbers/" TargetMode="External"/><Relationship Id="rId110" Type="http://schemas.openxmlformats.org/officeDocument/2006/relationships/hyperlink" Target="https://leetcode.com/problems/regions-cut-by-slashes" TargetMode="External"/><Relationship Id="rId131" Type="http://schemas.openxmlformats.org/officeDocument/2006/relationships/hyperlink" Target="https://leetcode.com/problems/cheapest-flights-within-k-stops/" TargetMode="External"/><Relationship Id="rId152" Type="http://schemas.openxmlformats.org/officeDocument/2006/relationships/hyperlink" Target="https://practice.geeksforgeeks.org/problems/minimum-platforms/0" TargetMode="External"/><Relationship Id="rId173" Type="http://schemas.openxmlformats.org/officeDocument/2006/relationships/hyperlink" Target="https://www.spoj.com/problems/GERGOVIA/" TargetMode="External"/><Relationship Id="rId194" Type="http://schemas.openxmlformats.org/officeDocument/2006/relationships/hyperlink" Target="https://www.geeksforgeeks.org/the-knights-tour-problem-backtracking-1/" TargetMode="External"/><Relationship Id="rId208" Type="http://schemas.openxmlformats.org/officeDocument/2006/relationships/hyperlink" Target="https://www.geeksforgeeks.org/dynamic-programming-building-bridges/" TargetMode="External"/><Relationship Id="rId229" Type="http://schemas.openxmlformats.org/officeDocument/2006/relationships/hyperlink" Target="https://www.lintcode.com/problem/boolean-parenthesization/description" TargetMode="External"/><Relationship Id="rId240" Type="http://schemas.openxmlformats.org/officeDocument/2006/relationships/hyperlink" Target="https://www.geeksforgeeks.org/puzzle-set-35-2-eggs-and-100-floors/" TargetMode="External"/><Relationship Id="rId261" Type="http://schemas.openxmlformats.org/officeDocument/2006/relationships/hyperlink" Target="https://www.geeksforgeeks.org/longest-common-substring-dp-29/" TargetMode="External"/><Relationship Id="rId14" Type="http://schemas.openxmlformats.org/officeDocument/2006/relationships/hyperlink" Target="https://codeforces.com/contest/1497/problem/C2" TargetMode="External"/><Relationship Id="rId35" Type="http://schemas.openxmlformats.org/officeDocument/2006/relationships/hyperlink" Target="https://practice.geeksforgeeks.org/problems/sorted-matrix/0" TargetMode="External"/><Relationship Id="rId56" Type="http://schemas.openxmlformats.org/officeDocument/2006/relationships/hyperlink" Target="https://practice.geeksforgeeks.org/problems/flattening-a-linked-list/1" TargetMode="External"/><Relationship Id="rId77" Type="http://schemas.openxmlformats.org/officeDocument/2006/relationships/hyperlink" Target="https://leetcode.com/problems/validate-binary-search-tree/" TargetMode="External"/><Relationship Id="rId100" Type="http://schemas.openxmlformats.org/officeDocument/2006/relationships/hyperlink" Target="https://leetcode.com/problems/word-ladder" TargetMode="External"/><Relationship Id="rId282" Type="http://schemas.openxmlformats.org/officeDocument/2006/relationships/hyperlink" Target="https://leetcode.com/problems/single-number-iii/" TargetMode="External"/><Relationship Id="rId8" Type="http://schemas.openxmlformats.org/officeDocument/2006/relationships/hyperlink" Target="https://www.geeksforgeeks.org/sort-an-array-of-0s-1s-and-2s/" TargetMode="External"/><Relationship Id="rId98" Type="http://schemas.openxmlformats.org/officeDocument/2006/relationships/hyperlink" Target="https://leetcode.com/problems/number-of-distinct-islands" TargetMode="External"/><Relationship Id="rId121" Type="http://schemas.openxmlformats.org/officeDocument/2006/relationships/hyperlink" Target="https://www.geeksforgeeks.org/minimum-swaps-to-make-two-array-identical/" TargetMode="External"/><Relationship Id="rId142" Type="http://schemas.openxmlformats.org/officeDocument/2006/relationships/hyperlink" Target="https://www.codechef.com/LTIME87B/problems/MODEFREQ/" TargetMode="External"/><Relationship Id="rId163" Type="http://schemas.openxmlformats.org/officeDocument/2006/relationships/hyperlink" Target="https://www.geeksforgeeks.org/maximum-sum-absolute-difference-array/" TargetMode="External"/><Relationship Id="rId184" Type="http://schemas.openxmlformats.org/officeDocument/2006/relationships/hyperlink" Target="https://practice.geeksforgeeks.org/problems/rat-in-a-maze-problem/1" TargetMode="External"/><Relationship Id="rId219" Type="http://schemas.openxmlformats.org/officeDocument/2006/relationships/hyperlink" Target="https://www.geeksforgeeks.org/total-number-of-possible-binary-search-trees-with-n-keys/" TargetMode="External"/><Relationship Id="rId230" Type="http://schemas.openxmlformats.org/officeDocument/2006/relationships/hyperlink" Target="https://www.geeksforgeeks.org/minimum-maximum-values-expression/" TargetMode="External"/><Relationship Id="rId251" Type="http://schemas.openxmlformats.org/officeDocument/2006/relationships/hyperlink" Target="https://www.geeksforgeeks.org/word-break-problem-dp-32/" TargetMode="External"/><Relationship Id="rId25" Type="http://schemas.openxmlformats.org/officeDocument/2006/relationships/hyperlink" Target="https://codeforces.com/problemset/problem/451/B" TargetMode="External"/><Relationship Id="rId46" Type="http://schemas.openxmlformats.org/officeDocument/2006/relationships/hyperlink" Target="https://practice.geeksforgeeks.org/problems/reverse-a-linked-list-in-groups-of-given-size/1" TargetMode="External"/><Relationship Id="rId67" Type="http://schemas.openxmlformats.org/officeDocument/2006/relationships/hyperlink" Target="https://leetcode.com/problems/sum-of-distances-in-tree/" TargetMode="External"/><Relationship Id="rId272" Type="http://schemas.openxmlformats.org/officeDocument/2006/relationships/hyperlink" Target="https://www.geeksforgeeks.org/unbounded-knapsack-repetition-items-allowed/" TargetMode="External"/><Relationship Id="rId293" Type="http://schemas.openxmlformats.org/officeDocument/2006/relationships/hyperlink" Target="https://www.interviewbit.com/problems/shortest-unique-prefix/" TargetMode="External"/><Relationship Id="rId88" Type="http://schemas.openxmlformats.org/officeDocument/2006/relationships/hyperlink" Target="https://leetcode.com/problems/sum-root-to-leaf-numbers/" TargetMode="External"/><Relationship Id="rId111" Type="http://schemas.openxmlformats.org/officeDocument/2006/relationships/hyperlink" Target="https://medium.com/@rebeccahezhang/leetcode-737-sentence-similarity-ii-2ca213f10115" TargetMode="External"/><Relationship Id="rId132" Type="http://schemas.openxmlformats.org/officeDocument/2006/relationships/hyperlink" Target="https://leetcode.com/problems/cracking-the-safe/" TargetMode="External"/><Relationship Id="rId153" Type="http://schemas.openxmlformats.org/officeDocument/2006/relationships/hyperlink" Target="https://www.geeksforgeeks.org/buy-maximum-stocks-stocks-can-bought-th-day/" TargetMode="External"/><Relationship Id="rId174" Type="http://schemas.openxmlformats.org/officeDocument/2006/relationships/hyperlink" Target="https://www.spoj.com/problems/GCJ101BB/" TargetMode="External"/><Relationship Id="rId195" Type="http://schemas.openxmlformats.org/officeDocument/2006/relationships/hyperlink" Target="https://www.geeksforgeeks.org/tug-of-war/" TargetMode="External"/><Relationship Id="rId209" Type="http://schemas.openxmlformats.org/officeDocument/2006/relationships/hyperlink" Target="https://practice.geeksforgeeks.org/problems/box-stacking/1" TargetMode="External"/><Relationship Id="rId220" Type="http://schemas.openxmlformats.org/officeDocument/2006/relationships/hyperlink" Target="https://cp-algorithms.com/combinatorics/catalan-numbers.html" TargetMode="External"/><Relationship Id="rId241" Type="http://schemas.openxmlformats.org/officeDocument/2006/relationships/hyperlink" Target="https://www.geeksforgeeks.org/egg-dropping-puzzle-dp-11/" TargetMode="External"/><Relationship Id="rId15" Type="http://schemas.openxmlformats.org/officeDocument/2006/relationships/hyperlink" Target="https://leetcode.com/problems/fibonacci-number" TargetMode="External"/><Relationship Id="rId36" Type="http://schemas.openxmlformats.org/officeDocument/2006/relationships/hyperlink" Target="https://practice.geeksforgeeks.org/problems/sorted-matrix/0" TargetMode="External"/><Relationship Id="rId57" Type="http://schemas.openxmlformats.org/officeDocument/2006/relationships/hyperlink" Target="https://practice.geeksforgeeks.org/problems/given-a-linked-list-of-0s-1s-and-2s-sort-it/1" TargetMode="External"/><Relationship Id="rId262" Type="http://schemas.openxmlformats.org/officeDocument/2006/relationships/hyperlink" Target="https://leetcode.com/problems/frog-jump/" TargetMode="External"/><Relationship Id="rId283" Type="http://schemas.openxmlformats.org/officeDocument/2006/relationships/hyperlink" Target="https://leetcode.com/problems/total-hamming-distance/" TargetMode="External"/><Relationship Id="rId78" Type="http://schemas.openxmlformats.org/officeDocument/2006/relationships/hyperlink" Target="https://www.geeksforgeeks.org/construct-a-binary-search-tree-from-given-postorder/" TargetMode="External"/><Relationship Id="rId99" Type="http://schemas.openxmlformats.org/officeDocument/2006/relationships/hyperlink" Target="https://leetcode.com/problems/number-of-distinct-islands" TargetMode="External"/><Relationship Id="rId101" Type="http://schemas.openxmlformats.org/officeDocument/2006/relationships/hyperlink" Target="https://leetcode.com/problems/as-far-from-land-as-possible/" TargetMode="External"/><Relationship Id="rId122" Type="http://schemas.openxmlformats.org/officeDocument/2006/relationships/hyperlink" Target="https://leetcode.com/problems/bricks-falling-when-hit/" TargetMode="External"/><Relationship Id="rId143" Type="http://schemas.openxmlformats.org/officeDocument/2006/relationships/hyperlink" Target="https://www.programcreek.com/2014/08/leetcode-line-reflection-java/" TargetMode="External"/><Relationship Id="rId164" Type="http://schemas.openxmlformats.org/officeDocument/2006/relationships/hyperlink" Target="https://practice.geeksforgeeks.org/problems/swap-and-maximize/0" TargetMode="External"/><Relationship Id="rId185" Type="http://schemas.openxmlformats.org/officeDocument/2006/relationships/hyperlink" Target="https://www.geeksforgeeks.org/printing-solutions-n-queen-problem/" TargetMode="External"/><Relationship Id="rId9" Type="http://schemas.openxmlformats.org/officeDocument/2006/relationships/hyperlink" Target="https://leetcode.com/problems/sort-array-by-parity" TargetMode="External"/><Relationship Id="rId210" Type="http://schemas.openxmlformats.org/officeDocument/2006/relationships/hyperlink" Target="https://www.geeksforgeeks.org/weighted-job-scheduling-set-2-using-lis/?ref=rp" TargetMode="External"/><Relationship Id="rId26" Type="http://schemas.openxmlformats.org/officeDocument/2006/relationships/hyperlink" Target="https://practice.geeksforgeeks.org/problems/minimize-the-heights3351/1" TargetMode="External"/><Relationship Id="rId231" Type="http://schemas.openxmlformats.org/officeDocument/2006/relationships/hyperlink" Target="https://www.geeksforgeeks.org/binomial-coefficient-dp-9/" TargetMode="External"/><Relationship Id="rId252" Type="http://schemas.openxmlformats.org/officeDocument/2006/relationships/hyperlink" Target="https://www.geeksforgeeks.org/longest-repeating-subsequence/" TargetMode="External"/><Relationship Id="rId273" Type="http://schemas.openxmlformats.org/officeDocument/2006/relationships/hyperlink" Target="https://www.geeksforgeeks.org/unbounded-knapsack-repetition-items-allowed/" TargetMode="External"/><Relationship Id="rId294" Type="http://schemas.openxmlformats.org/officeDocument/2006/relationships/hyperlink" Target="https://www.lintcode.com/problem/906/" TargetMode="External"/><Relationship Id="rId47" Type="http://schemas.openxmlformats.org/officeDocument/2006/relationships/hyperlink" Target="https://www.geeksforgeeks.org/split-a-circular-linked-list-into-two-halves/" TargetMode="External"/><Relationship Id="rId68" Type="http://schemas.openxmlformats.org/officeDocument/2006/relationships/hyperlink" Target="https://www.geeksforgeeks.org/reverse-level-order-traversal/" TargetMode="External"/><Relationship Id="rId89" Type="http://schemas.openxmlformats.org/officeDocument/2006/relationships/hyperlink" Target="https://www.spoj.com/problems/RMQSQ/" TargetMode="External"/><Relationship Id="rId112" Type="http://schemas.openxmlformats.org/officeDocument/2006/relationships/hyperlink" Target="https://leetcode.com/problems/satisfiability-of-equality-equations" TargetMode="External"/><Relationship Id="rId133" Type="http://schemas.openxmlformats.org/officeDocument/2006/relationships/hyperlink" Target="https://leetcode.com/problems/find-eventual-safe-states/" TargetMode="External"/><Relationship Id="rId154" Type="http://schemas.openxmlformats.org/officeDocument/2006/relationships/hyperlink" Target="https://practice.geeksforgeeks.org/problems/shop-in-candy-store/0" TargetMode="External"/><Relationship Id="rId175" Type="http://schemas.openxmlformats.org/officeDocument/2006/relationships/hyperlink" Target="https://www.spoj.com/problems/CHOCOLA/" TargetMode="External"/><Relationship Id="rId196" Type="http://schemas.openxmlformats.org/officeDocument/2006/relationships/hyperlink" Target="https://www.geeksforgeeks.org/find-shortest-safe-route-in-a-path-with-landmines/" TargetMode="External"/><Relationship Id="rId200" Type="http://schemas.openxmlformats.org/officeDocument/2006/relationships/hyperlink" Target="https://practice.geeksforgeeks.org/problems/permutations-of-a-given-string/0" TargetMode="External"/><Relationship Id="rId16" Type="http://schemas.openxmlformats.org/officeDocument/2006/relationships/hyperlink" Target="https://www.lintcode.com/problem/wiggle-sort/description" TargetMode="External"/><Relationship Id="rId221" Type="http://schemas.openxmlformats.org/officeDocument/2006/relationships/hyperlink" Target="https://leetcode.com/problems/minimum-path-sum/" TargetMode="External"/><Relationship Id="rId242" Type="http://schemas.openxmlformats.org/officeDocument/2006/relationships/hyperlink" Target="https://www.geeksforgeeks.org/optimal-strategy-for-a-game-dp-31/" TargetMode="External"/><Relationship Id="rId263" Type="http://schemas.openxmlformats.org/officeDocument/2006/relationships/hyperlink" Target="https://leetcode.com/problems/jump-game-ii/" TargetMode="External"/><Relationship Id="rId284" Type="http://schemas.openxmlformats.org/officeDocument/2006/relationships/hyperlink" Target="https://leetcode.com/problems/bitwise-ors-of-subarrays/" TargetMode="External"/><Relationship Id="rId37" Type="http://schemas.openxmlformats.org/officeDocument/2006/relationships/hyperlink" Target="https://www.geeksforgeeks.org/find-a-specific-pair-in-matrix/" TargetMode="External"/><Relationship Id="rId58" Type="http://schemas.openxmlformats.org/officeDocument/2006/relationships/hyperlink" Target="https://practice.geeksforgeeks.org/problems/delete-nodes-having-greater-value-on-right/1" TargetMode="External"/><Relationship Id="rId79" Type="http://schemas.openxmlformats.org/officeDocument/2006/relationships/hyperlink" Target="https://www.geeksforgeeks.org/construct-bst-from-given-preorder-traversa/" TargetMode="External"/><Relationship Id="rId102" Type="http://schemas.openxmlformats.org/officeDocument/2006/relationships/hyperlink" Target="https://leetcode.com/problems/sliding-puzzle" TargetMode="External"/><Relationship Id="rId123" Type="http://schemas.openxmlformats.org/officeDocument/2006/relationships/hyperlink" Target="https://www.geeksforgeeks.org/given-sorted-dictionary-find-precedence-characters/" TargetMode="External"/><Relationship Id="rId144" Type="http://schemas.openxmlformats.org/officeDocument/2006/relationships/hyperlink" Target="https://practice.geeksforgeeks.org/problems/n-meetings-in-one-room/0" TargetMode="External"/><Relationship Id="rId90" Type="http://schemas.openxmlformats.org/officeDocument/2006/relationships/hyperlink" Target="https://www.spoj.com/problems/RMQSQ/" TargetMode="External"/><Relationship Id="rId165" Type="http://schemas.openxmlformats.org/officeDocument/2006/relationships/hyperlink" Target="https://www.geeksforgeeks.org/minimum-sum-absolute-difference-pairs-two-arrays/" TargetMode="External"/><Relationship Id="rId186" Type="http://schemas.openxmlformats.org/officeDocument/2006/relationships/hyperlink" Target="https://practice.geeksforgeeks.org/problems/word-break-part-2/0" TargetMode="External"/><Relationship Id="rId211" Type="http://schemas.openxmlformats.org/officeDocument/2006/relationships/hyperlink" Target="https://www.geeksforgeeks.org/minimum-number-of-increasing-subsequences/" TargetMode="External"/><Relationship Id="rId232" Type="http://schemas.openxmlformats.org/officeDocument/2006/relationships/hyperlink" Target="https://www.geeksforgeeks.org/binomial-coefficient-dp-9/" TargetMode="External"/><Relationship Id="rId253" Type="http://schemas.openxmlformats.org/officeDocument/2006/relationships/hyperlink" Target="https://www.geeksforgeeks.org/longest-repeating-subsequence/" TargetMode="External"/><Relationship Id="rId274" Type="http://schemas.openxmlformats.org/officeDocument/2006/relationships/hyperlink" Target="https://leetcode.com/problems/number-of-1-bits/" TargetMode="External"/><Relationship Id="rId295" Type="http://schemas.openxmlformats.org/officeDocument/2006/relationships/printerSettings" Target="../printerSettings/printerSettings3.bin"/><Relationship Id="rId27" Type="http://schemas.openxmlformats.org/officeDocument/2006/relationships/hyperlink" Target="https://leetcode.com/problems/long-pressed-name" TargetMode="External"/><Relationship Id="rId48" Type="http://schemas.openxmlformats.org/officeDocument/2006/relationships/hyperlink" Target="https://www.geeksforgeeks.org/split-a-circular-linked-list-into-two-halves/" TargetMode="External"/><Relationship Id="rId69" Type="http://schemas.openxmlformats.org/officeDocument/2006/relationships/hyperlink" Target="https://www.geeksforgeeks.org/boundary-traversal-of-binary-tree/" TargetMode="External"/><Relationship Id="rId113" Type="http://schemas.openxmlformats.org/officeDocument/2006/relationships/hyperlink" Target="https://leetcode.com/problems/redundant-connection" TargetMode="External"/><Relationship Id="rId134" Type="http://schemas.openxmlformats.org/officeDocument/2006/relationships/hyperlink" Target="https://www.geeksforgeeks.org/shortest-cycle-in-an-undirected-unweighted-graph/" TargetMode="External"/><Relationship Id="rId80" Type="http://schemas.openxmlformats.org/officeDocument/2006/relationships/hyperlink" Target="https://www.geeksforgeeks.org/full-and-complete-binary-tree-from-given-preorder-and-postorder-traversals/" TargetMode="External"/><Relationship Id="rId155" Type="http://schemas.openxmlformats.org/officeDocument/2006/relationships/hyperlink" Target="https://www.geeksforgeeks.org/minimize-cash-flow-among-given-set-friends-borrowed-money/" TargetMode="External"/><Relationship Id="rId176" Type="http://schemas.openxmlformats.org/officeDocument/2006/relationships/hyperlink" Target="https://www.spoj.com/problems/ARRANGE/" TargetMode="External"/><Relationship Id="rId197" Type="http://schemas.openxmlformats.org/officeDocument/2006/relationships/hyperlink" Target="https://practice.geeksforgeeks.org/problems/combination-sum/0" TargetMode="External"/><Relationship Id="rId201" Type="http://schemas.openxmlformats.org/officeDocument/2006/relationships/hyperlink" Target="https://www.geeksforgeeks.org/find-if-there-is-a-path-of-more-than-k-length-from-a-source/" TargetMode="External"/><Relationship Id="rId222" Type="http://schemas.openxmlformats.org/officeDocument/2006/relationships/hyperlink" Target="https://leetcode.com/problems/cherry-pickup/" TargetMode="External"/><Relationship Id="rId243" Type="http://schemas.openxmlformats.org/officeDocument/2006/relationships/hyperlink" Target="https://www.geeksforgeeks.org/ugly-numbers/" TargetMode="External"/><Relationship Id="rId264" Type="http://schemas.openxmlformats.org/officeDocument/2006/relationships/hyperlink" Target="https://www.geeksforgeeks.org/friends-pairing-problem/" TargetMode="External"/><Relationship Id="rId285" Type="http://schemas.openxmlformats.org/officeDocument/2006/relationships/hyperlink" Target="https://leetcode.com/problems/divide-two-integers/" TargetMode="External"/><Relationship Id="rId17" Type="http://schemas.openxmlformats.org/officeDocument/2006/relationships/hyperlink" Target="https://leetcode.com/problems/maximum-swap" TargetMode="External"/><Relationship Id="rId38" Type="http://schemas.openxmlformats.org/officeDocument/2006/relationships/hyperlink" Target="https://www.geeksforgeeks.org/rotate-a-matrix-by-90-degree-in-clockwise-direction-without-using-any-extra-space/" TargetMode="External"/><Relationship Id="rId59" Type="http://schemas.openxmlformats.org/officeDocument/2006/relationships/hyperlink" Target="https://practice.geeksforgeeks.org/problems/remove-duplicate-element-from-sorted-linked-list/1" TargetMode="External"/><Relationship Id="rId103" Type="http://schemas.openxmlformats.org/officeDocument/2006/relationships/hyperlink" Target="https://leetcode.com/problems/coloring-a-border" TargetMode="External"/><Relationship Id="rId124" Type="http://schemas.openxmlformats.org/officeDocument/2006/relationships/hyperlink" Target="https://leetcode.com/problems/largest-color-value-in-a-directed-graph/" TargetMode="External"/><Relationship Id="rId70" Type="http://schemas.openxmlformats.org/officeDocument/2006/relationships/hyperlink" Target="https://leetcode.com/problems/binary-tree-coloring-game/" TargetMode="External"/><Relationship Id="rId91" Type="http://schemas.openxmlformats.org/officeDocument/2006/relationships/hyperlink" Target="https://practice.geeksforgeeks.org/problems/bfs-traversal-of-graph/1" TargetMode="External"/><Relationship Id="rId145" Type="http://schemas.openxmlformats.org/officeDocument/2006/relationships/hyperlink" Target="https://practice.geeksforgeeks.org/problems/job-sequencing-problem/0" TargetMode="External"/><Relationship Id="rId166" Type="http://schemas.openxmlformats.org/officeDocument/2006/relationships/hyperlink" Target="https://www.geeksforgeeks.org/program-for-shortest-job-first-or-sjf-cpu-scheduling-set-1-non-preemptive/" TargetMode="External"/><Relationship Id="rId187" Type="http://schemas.openxmlformats.org/officeDocument/2006/relationships/hyperlink" Target="https://leetcode.com/problems/remove-invalid-parentheses/" TargetMode="External"/><Relationship Id="rId1" Type="http://schemas.openxmlformats.org/officeDocument/2006/relationships/hyperlink" Target="https://leetcode.com/problems/squares-of-a-sorted-array/" TargetMode="External"/><Relationship Id="rId212" Type="http://schemas.openxmlformats.org/officeDocument/2006/relationships/hyperlink" Target="https://www.geeksforgeeks.org/minimum-number-of-increasing-subsequences/" TargetMode="External"/><Relationship Id="rId233" Type="http://schemas.openxmlformats.org/officeDocument/2006/relationships/hyperlink" Target="https://leetcode.com/problems/longest-common-subsequence/" TargetMode="External"/><Relationship Id="rId254" Type="http://schemas.openxmlformats.org/officeDocument/2006/relationships/hyperlink" Target="https://www.geeksforgeeks.org/optimal-binary-search-tree-dp-24/" TargetMode="External"/><Relationship Id="rId28" Type="http://schemas.openxmlformats.org/officeDocument/2006/relationships/hyperlink" Target="https://www.lintcode.com/problem/range-addition/description" TargetMode="External"/><Relationship Id="rId49" Type="http://schemas.openxmlformats.org/officeDocument/2006/relationships/hyperlink" Target="https://www.geeksforgeeks.org/write-a-function-to-get-the-intersection-point-of-two-linked-lists/" TargetMode="External"/><Relationship Id="rId114" Type="http://schemas.openxmlformats.org/officeDocument/2006/relationships/hyperlink" Target="https://practice.geeksforgeeks.org/problems/castle-run/0" TargetMode="External"/><Relationship Id="rId275" Type="http://schemas.openxmlformats.org/officeDocument/2006/relationships/hyperlink" Target="https://leetcode.com/problems/reverse-bits/" TargetMode="External"/><Relationship Id="rId60" Type="http://schemas.openxmlformats.org/officeDocument/2006/relationships/hyperlink" Target="https://practice.geeksforgeeks.org/problems/add-two-numbers-represented-by-linked-lists/1" TargetMode="External"/><Relationship Id="rId81" Type="http://schemas.openxmlformats.org/officeDocument/2006/relationships/hyperlink" Target="https://www.spoj.com/problems/FENTREE/" TargetMode="External"/><Relationship Id="rId135" Type="http://schemas.openxmlformats.org/officeDocument/2006/relationships/hyperlink" Target="https://practice.geeksforgeeks.org/problems/implementing-floyd-warshall/0" TargetMode="External"/><Relationship Id="rId156" Type="http://schemas.openxmlformats.org/officeDocument/2006/relationships/hyperlink" Target="https://www.geeksforgeeks.org/minimum-cost-cut-board-squares/" TargetMode="External"/><Relationship Id="rId177" Type="http://schemas.openxmlformats.org/officeDocument/2006/relationships/hyperlink" Target="https://www.spoj.com/problems/ARRANGE/" TargetMode="External"/><Relationship Id="rId198" Type="http://schemas.openxmlformats.org/officeDocument/2006/relationships/hyperlink" Target="https://practice.geeksforgeeks.org/problems/largest-number-in-k-swaps/0" TargetMode="External"/><Relationship Id="rId202" Type="http://schemas.openxmlformats.org/officeDocument/2006/relationships/hyperlink" Target="https://www.geeksforgeeks.org/longest-possible-route-in-a-matrix-with-hurdles/" TargetMode="External"/><Relationship Id="rId223" Type="http://schemas.openxmlformats.org/officeDocument/2006/relationships/hyperlink" Target="https://leetcode.com/problems/cherry-pickup/" TargetMode="External"/><Relationship Id="rId244" Type="http://schemas.openxmlformats.org/officeDocument/2006/relationships/hyperlink" Target="https://www.geeksforgeeks.org/maximum-size-sub-matrix-with-all-1s-in-a-binary-matrix/" TargetMode="External"/><Relationship Id="rId18" Type="http://schemas.openxmlformats.org/officeDocument/2006/relationships/hyperlink" Target="https://leetcode.com/problems/boats-to-save-people" TargetMode="External"/><Relationship Id="rId39" Type="http://schemas.openxmlformats.org/officeDocument/2006/relationships/hyperlink" Target="https://practice.geeksforgeeks.org/problems/kth-element-in-matrix/1" TargetMode="External"/><Relationship Id="rId265" Type="http://schemas.openxmlformats.org/officeDocument/2006/relationships/hyperlink" Target="https://leetcode.com/problems/dungeon-game/" TargetMode="External"/><Relationship Id="rId286" Type="http://schemas.openxmlformats.org/officeDocument/2006/relationships/hyperlink" Target="https://www.interviewbit.com/problems/min-xor-value/" TargetMode="External"/><Relationship Id="rId50" Type="http://schemas.openxmlformats.org/officeDocument/2006/relationships/hyperlink" Target="https://practice.geeksforgeeks.org/problems/sort-a-linked-list/1" TargetMode="External"/><Relationship Id="rId104" Type="http://schemas.openxmlformats.org/officeDocument/2006/relationships/hyperlink" Target="https://leetcode.com/problems/rotting-oranges" TargetMode="External"/><Relationship Id="rId125" Type="http://schemas.openxmlformats.org/officeDocument/2006/relationships/hyperlink" Target="https://leetcode.com/problems/swim-in-rising-water/" TargetMode="External"/><Relationship Id="rId146" Type="http://schemas.openxmlformats.org/officeDocument/2006/relationships/hyperlink" Target="https://practice.geeksforgeeks.org/problems/huffman-encoding/0" TargetMode="External"/><Relationship Id="rId167" Type="http://schemas.openxmlformats.org/officeDocument/2006/relationships/hyperlink" Target="https://practice.geeksforgeeks.org/problems/page-faults-in-lru/0" TargetMode="External"/><Relationship Id="rId188" Type="http://schemas.openxmlformats.org/officeDocument/2006/relationships/hyperlink" Target="https://practice.geeksforgeeks.org/problems/solve-the-sudoku/0" TargetMode="External"/><Relationship Id="rId71" Type="http://schemas.openxmlformats.org/officeDocument/2006/relationships/hyperlink" Target="https://leetcode.com/problems/binary-tree-coloring-game/" TargetMode="External"/><Relationship Id="rId92" Type="http://schemas.openxmlformats.org/officeDocument/2006/relationships/hyperlink" Target="https://www.geeksforgeeks.org/minimum-cost-connect-cities/" TargetMode="External"/><Relationship Id="rId213" Type="http://schemas.openxmlformats.org/officeDocument/2006/relationships/hyperlink" Target="https://www.lintcode.com/problem/paint-fence/description" TargetMode="External"/><Relationship Id="rId234" Type="http://schemas.openxmlformats.org/officeDocument/2006/relationships/hyperlink" Target="https://www.geeksforgeeks.org/lcs-longest-common-subsequence-three-strings/" TargetMode="External"/><Relationship Id="rId2" Type="http://schemas.openxmlformats.org/officeDocument/2006/relationships/hyperlink" Target="https://leetcode.com/problems/rotate-array" TargetMode="External"/><Relationship Id="rId29" Type="http://schemas.openxmlformats.org/officeDocument/2006/relationships/hyperlink" Target="https://leetcode.com/problems/orderly-queue" TargetMode="External"/><Relationship Id="rId255" Type="http://schemas.openxmlformats.org/officeDocument/2006/relationships/hyperlink" Target="https://www.geeksforgeeks.org/largest-sum-subarray-least-k-numbers/" TargetMode="External"/><Relationship Id="rId276" Type="http://schemas.openxmlformats.org/officeDocument/2006/relationships/hyperlink" Target="https://practice.geeksforgeeks.org/problems/finding-the-numbers0215/1" TargetMode="External"/><Relationship Id="rId40" Type="http://schemas.openxmlformats.org/officeDocument/2006/relationships/hyperlink" Target="https://www.geeksforgeeks.org/common-elements-in-all-rows-of-a-given-matrix/" TargetMode="External"/><Relationship Id="rId115" Type="http://schemas.openxmlformats.org/officeDocument/2006/relationships/hyperlink" Target="https://leetcode.com/problems/minimize-malware-spread" TargetMode="External"/><Relationship Id="rId136" Type="http://schemas.openxmlformats.org/officeDocument/2006/relationships/hyperlink" Target="https://practice.geeksforgeeks.org/problems/implementing-floyd-warshall/0" TargetMode="External"/><Relationship Id="rId157" Type="http://schemas.openxmlformats.org/officeDocument/2006/relationships/hyperlink" Target="https://www.geeksforgeeks.org/survival/" TargetMode="External"/><Relationship Id="rId178" Type="http://schemas.openxmlformats.org/officeDocument/2006/relationships/hyperlink" Target="https://www.geeksforgeeks.org/k-centers-problem-set-1-greedy-approximate-algorithm/" TargetMode="External"/><Relationship Id="rId61" Type="http://schemas.openxmlformats.org/officeDocument/2006/relationships/hyperlink" Target="https://www.geeksforgeeks.org/efficiently-implement-k-queues-single-array/" TargetMode="External"/><Relationship Id="rId82" Type="http://schemas.openxmlformats.org/officeDocument/2006/relationships/hyperlink" Target="https://leetcode.com/problems/longest-zigzag-path-in-a-binary-tree/" TargetMode="External"/><Relationship Id="rId199" Type="http://schemas.openxmlformats.org/officeDocument/2006/relationships/hyperlink" Target="https://practice.geeksforgeeks.org/problems/permutations-of-a-given-string/0" TargetMode="External"/><Relationship Id="rId203" Type="http://schemas.openxmlformats.org/officeDocument/2006/relationships/hyperlink" Target="https://www.geeksforgeeks.org/print-all-possible-paths-from-top-left-to-bottom-right-of-a-mxn-matrix/" TargetMode="External"/><Relationship Id="rId19" Type="http://schemas.openxmlformats.org/officeDocument/2006/relationships/hyperlink" Target="https://practice.geeksforgeeks.org/problems/minimum-swaps-required-to-bring-all-elements-less-than-or-equal-to-k-together/0" TargetMode="External"/><Relationship Id="rId224" Type="http://schemas.openxmlformats.org/officeDocument/2006/relationships/hyperlink" Target="https://leetcode.com/problems/cherry-pickup-ii/" TargetMode="External"/><Relationship Id="rId245" Type="http://schemas.openxmlformats.org/officeDocument/2006/relationships/hyperlink" Target="https://leetcode.com/problems/wildcard-matching/" TargetMode="External"/><Relationship Id="rId266" Type="http://schemas.openxmlformats.org/officeDocument/2006/relationships/hyperlink" Target="https://leetcode.com/problems/dungeon-game/" TargetMode="External"/><Relationship Id="rId287" Type="http://schemas.openxmlformats.org/officeDocument/2006/relationships/hyperlink" Target="https://www.geeksforgeeks.org/maximum-xor-value-of-a-pair-from-a-range/" TargetMode="External"/><Relationship Id="rId30" Type="http://schemas.openxmlformats.org/officeDocument/2006/relationships/hyperlink" Target="https://leetcode.com/problems/container-with-most-water" TargetMode="External"/><Relationship Id="rId105" Type="http://schemas.openxmlformats.org/officeDocument/2006/relationships/hyperlink" Target="https://practice.geeksforgeeks.org/problems/doctor-strange/0" TargetMode="External"/><Relationship Id="rId126" Type="http://schemas.openxmlformats.org/officeDocument/2006/relationships/hyperlink" Target="https://leetcode.com/problems/shortest-distance-from-all-buildings/" TargetMode="External"/><Relationship Id="rId147" Type="http://schemas.openxmlformats.org/officeDocument/2006/relationships/hyperlink" Target="https://practice.geeksforgeeks.org/problems/water-connection-problem/0" TargetMode="External"/><Relationship Id="rId168" Type="http://schemas.openxmlformats.org/officeDocument/2006/relationships/hyperlink" Target="https://www.geeksforgeeks.org/smallest-subset-sum-greater-elements/" TargetMode="External"/><Relationship Id="rId51" Type="http://schemas.openxmlformats.org/officeDocument/2006/relationships/hyperlink" Target="https://practice.geeksforgeeks.org/problems/quick-sort-on-linked-list/1" TargetMode="External"/><Relationship Id="rId72" Type="http://schemas.openxmlformats.org/officeDocument/2006/relationships/hyperlink" Target="https://leetcode.com/problems/inorder-successor-in-bst/" TargetMode="External"/><Relationship Id="rId93" Type="http://schemas.openxmlformats.org/officeDocument/2006/relationships/hyperlink" Target="https://discuss.codechef.com/t/how-to-solve-this-google-interview-graph-question/35981" TargetMode="External"/><Relationship Id="rId189" Type="http://schemas.openxmlformats.org/officeDocument/2006/relationships/hyperlink" Target="https://practice.geeksforgeeks.org/problems/solve-the-sudoku/0" TargetMode="External"/><Relationship Id="rId3" Type="http://schemas.openxmlformats.org/officeDocument/2006/relationships/hyperlink" Target="https://codeforces.com/problemset/problem/1051/B" TargetMode="External"/><Relationship Id="rId214" Type="http://schemas.openxmlformats.org/officeDocument/2006/relationships/hyperlink" Target="https://www.lintcode.com/problem/paint-house/description" TargetMode="External"/><Relationship Id="rId235" Type="http://schemas.openxmlformats.org/officeDocument/2006/relationships/hyperlink" Target="https://leetcode.com/problems/longest-palindromic-subsequence/" TargetMode="External"/><Relationship Id="rId256" Type="http://schemas.openxmlformats.org/officeDocument/2006/relationships/hyperlink" Target="https://codeforces.com/contest/1555/problem/D" TargetMode="External"/><Relationship Id="rId277" Type="http://schemas.openxmlformats.org/officeDocument/2006/relationships/hyperlink" Target="https://practice.geeksforgeeks.org/problems/bit-difference/0" TargetMode="External"/><Relationship Id="rId116" Type="http://schemas.openxmlformats.org/officeDocument/2006/relationships/hyperlink" Target="https://www.geeksforgeeks.org/job-sequencing-problem/" TargetMode="External"/><Relationship Id="rId137" Type="http://schemas.openxmlformats.org/officeDocument/2006/relationships/hyperlink" Target="https://codeforces.com/contest/1520/problem/D" TargetMode="External"/><Relationship Id="rId158" Type="http://schemas.openxmlformats.org/officeDocument/2006/relationships/hyperlink" Target="https://www.geeksforgeeks.org/find-maximum-meetings-in-one-room/" TargetMode="External"/><Relationship Id="rId20" Type="http://schemas.openxmlformats.org/officeDocument/2006/relationships/hyperlink" Target="https://leetcode.com/problems/sum-of-subsequence-widths/" TargetMode="External"/><Relationship Id="rId41" Type="http://schemas.openxmlformats.org/officeDocument/2006/relationships/hyperlink" Target="https://www.interviewbit.com/problems/painters-partition-problem/" TargetMode="External"/><Relationship Id="rId62" Type="http://schemas.openxmlformats.org/officeDocument/2006/relationships/hyperlink" Target="https://leetcode.com/problems/remove-duplicate-letters/" TargetMode="External"/><Relationship Id="rId83" Type="http://schemas.openxmlformats.org/officeDocument/2006/relationships/hyperlink" Target="https://leetcode.com/problems/longest-zigzag-path-in-a-binary-tree/" TargetMode="External"/><Relationship Id="rId179" Type="http://schemas.openxmlformats.org/officeDocument/2006/relationships/hyperlink" Target="https://practice.geeksforgeeks.org/problems/minimum-cost-of-ropes/0" TargetMode="External"/><Relationship Id="rId190" Type="http://schemas.openxmlformats.org/officeDocument/2006/relationships/hyperlink" Target="https://practice.geeksforgeeks.org/problems/m-coloring-problem/0" TargetMode="External"/><Relationship Id="rId204" Type="http://schemas.openxmlformats.org/officeDocument/2006/relationships/hyperlink" Target="https://practice.geeksforgeeks.org/problems/partition-array-to-k-subsets/1" TargetMode="External"/><Relationship Id="rId225" Type="http://schemas.openxmlformats.org/officeDocument/2006/relationships/hyperlink" Target="https://leetcode.com/problems/best-time-to-buy-and-sell-stock-with-transaction-fee/" TargetMode="External"/><Relationship Id="rId246" Type="http://schemas.openxmlformats.org/officeDocument/2006/relationships/hyperlink" Target="https://leetcode.com/problems/wildcard-matching/" TargetMode="External"/><Relationship Id="rId267" Type="http://schemas.openxmlformats.org/officeDocument/2006/relationships/hyperlink" Target="https://www.geeksforgeeks.org/rabin-karp-algorithm-for-pattern-searching/" TargetMode="External"/><Relationship Id="rId288" Type="http://schemas.openxmlformats.org/officeDocument/2006/relationships/hyperlink" Target="https://leetcode.com/problems/implement-trie-prefix-tree/" TargetMode="External"/><Relationship Id="rId106" Type="http://schemas.openxmlformats.org/officeDocument/2006/relationships/hyperlink" Target="https://practice.geeksforgeeks.org/problems/eulerian-path-in-an-undirected-graph/0" TargetMode="External"/><Relationship Id="rId127" Type="http://schemas.openxmlformats.org/officeDocument/2006/relationships/hyperlink" Target="https://leetcode.com/problems/remove-max-number-of-edges-to-keep-graph-fully-traversable/" TargetMode="External"/><Relationship Id="rId10" Type="http://schemas.openxmlformats.org/officeDocument/2006/relationships/hyperlink" Target="https://www.geeksforgeeks.org/a-program-to-check-if-strings-are-rotations-of-each-other/" TargetMode="External"/><Relationship Id="rId31" Type="http://schemas.openxmlformats.org/officeDocument/2006/relationships/hyperlink" Target="https://leetcode.com/problems/spiral-matrix/" TargetMode="External"/><Relationship Id="rId52" Type="http://schemas.openxmlformats.org/officeDocument/2006/relationships/hyperlink" Target="https://practice.geeksforgeeks.org/problems/check-if-linked-list-is-pallindrome/1" TargetMode="External"/><Relationship Id="rId73" Type="http://schemas.openxmlformats.org/officeDocument/2006/relationships/hyperlink" Target="https://leetcode.com/problems/maximum-product-of-splitted-binary-tree/" TargetMode="External"/><Relationship Id="rId94" Type="http://schemas.openxmlformats.org/officeDocument/2006/relationships/hyperlink" Target="https://practice.geeksforgeeks.org/problems/strongly-connected-components-kosarajus-algo/1" TargetMode="External"/><Relationship Id="rId148" Type="http://schemas.openxmlformats.org/officeDocument/2006/relationships/hyperlink" Target="https://practice.geeksforgeeks.org/problems/fractional-knapsack/0" TargetMode="External"/><Relationship Id="rId169" Type="http://schemas.openxmlformats.org/officeDocument/2006/relationships/hyperlink" Target="https://practice.geeksforgeeks.org/problems/chocolate-distribution-problem/0" TargetMode="External"/><Relationship Id="rId4" Type="http://schemas.openxmlformats.org/officeDocument/2006/relationships/hyperlink" Target="https://codeforces.com/contest/1501/problem/B" TargetMode="External"/><Relationship Id="rId180" Type="http://schemas.openxmlformats.org/officeDocument/2006/relationships/hyperlink" Target="https://practice.geeksforgeeks.org/problems/smallest-number5829/1" TargetMode="External"/><Relationship Id="rId215" Type="http://schemas.openxmlformats.org/officeDocument/2006/relationships/hyperlink" Target="https://www.lintcode.com/en/old/problem/paint-house-ii/" TargetMode="External"/><Relationship Id="rId236" Type="http://schemas.openxmlformats.org/officeDocument/2006/relationships/hyperlink" Target="https://leetcode.com/problems/palindromic-substrings/" TargetMode="External"/><Relationship Id="rId257" Type="http://schemas.openxmlformats.org/officeDocument/2006/relationships/hyperlink" Target="https://leetcode.com/problems/number-of-digit-one/" TargetMode="External"/><Relationship Id="rId278" Type="http://schemas.openxmlformats.org/officeDocument/2006/relationships/hyperlink" Target="https://leetcode.com/problems/power-of-two/" TargetMode="External"/><Relationship Id="rId42" Type="http://schemas.openxmlformats.org/officeDocument/2006/relationships/hyperlink" Target="https://leetcode.com/problems/find-median-from-data-stream/" TargetMode="External"/><Relationship Id="rId84" Type="http://schemas.openxmlformats.org/officeDocument/2006/relationships/hyperlink" Target="https://leetcode.com/problems/count-complete-tree-nodes/" TargetMode="External"/><Relationship Id="rId138" Type="http://schemas.openxmlformats.org/officeDocument/2006/relationships/hyperlink" Target="https://codeforces.com/contest/1526/problem/C2" TargetMode="External"/><Relationship Id="rId191" Type="http://schemas.openxmlformats.org/officeDocument/2006/relationships/hyperlink" Target="https://www.geeksforgeeks.org/given-a-string-print-all-possible-palindromic-partition/" TargetMode="External"/><Relationship Id="rId205" Type="http://schemas.openxmlformats.org/officeDocument/2006/relationships/hyperlink" Target="https://www.geeksforgeeks.org/find-the-k-th-permutation-sequence-of-first-n-natural-numbers/" TargetMode="External"/><Relationship Id="rId247" Type="http://schemas.openxmlformats.org/officeDocument/2006/relationships/hyperlink" Target="https://leetcode.com/problems/regular-expression-matching/" TargetMode="External"/><Relationship Id="rId107" Type="http://schemas.openxmlformats.org/officeDocument/2006/relationships/hyperlink" Target="https://practice.geeksforgeeks.org/problems/euler-circuit-in-a-directed-graph/1" TargetMode="External"/><Relationship Id="rId289" Type="http://schemas.openxmlformats.org/officeDocument/2006/relationships/hyperlink" Target="https://leetcode.com/problems/maximum-xor-of-two-numbers-in-an-array/" TargetMode="External"/><Relationship Id="rId11" Type="http://schemas.openxmlformats.org/officeDocument/2006/relationships/hyperlink" Target="https://www.geeksforgeeks.org/a-program-to-check-if-strings-are-rotations-of-each-other/" TargetMode="External"/><Relationship Id="rId53" Type="http://schemas.openxmlformats.org/officeDocument/2006/relationships/hyperlink" Target="https://www.geeksforgeeks.org/sort-k-sorted-doubly-linked-list/" TargetMode="External"/><Relationship Id="rId149" Type="http://schemas.openxmlformats.org/officeDocument/2006/relationships/hyperlink" Target="https://practice.geeksforgeeks.org/problems/coin-piles/0" TargetMode="External"/><Relationship Id="rId95" Type="http://schemas.openxmlformats.org/officeDocument/2006/relationships/hyperlink" Target="https://practice.geeksforgeeks.org/problems/mother-vertex/1" TargetMode="External"/><Relationship Id="rId160" Type="http://schemas.openxmlformats.org/officeDocument/2006/relationships/hyperlink" Target="https://practice.geeksforgeeks.org/problems/maximize-sum-after-k-negations/0" TargetMode="External"/><Relationship Id="rId216" Type="http://schemas.openxmlformats.org/officeDocument/2006/relationships/hyperlink" Target="https://www.geeksforgeeks.org/count-number-binary-strings-without-consecutive-1s/" TargetMode="External"/><Relationship Id="rId258" Type="http://schemas.openxmlformats.org/officeDocument/2006/relationships/hyperlink" Target="https://leetcode.com/problems/distinct-subsequences/" TargetMode="External"/><Relationship Id="rId22" Type="http://schemas.openxmlformats.org/officeDocument/2006/relationships/hyperlink" Target="https://leetcode.com/problems/maximize-distance-to-closest-person/" TargetMode="External"/><Relationship Id="rId64" Type="http://schemas.openxmlformats.org/officeDocument/2006/relationships/hyperlink" Target="https://leetcode.com/problems/minimum-cost-tree-from-leaf-values/" TargetMode="External"/><Relationship Id="rId118" Type="http://schemas.openxmlformats.org/officeDocument/2006/relationships/hyperlink" Target="https://leetcode.com/problems/most-stones-removed-with-same-row-or-column" TargetMode="External"/><Relationship Id="rId171" Type="http://schemas.openxmlformats.org/officeDocument/2006/relationships/hyperlink" Target="https://www.spoj.com/problems/DEFKIN/" TargetMode="External"/><Relationship Id="rId227" Type="http://schemas.openxmlformats.org/officeDocument/2006/relationships/hyperlink" Target="https://www.geeksforgeeks.org/highway-billboard-problem/" TargetMode="External"/><Relationship Id="rId269" Type="http://schemas.openxmlformats.org/officeDocument/2006/relationships/hyperlink" Target="https://open.kattis.com/problems/tritilin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hyperlink" Target="https://hack.codingblocks.com/app/contests/1157/1255/problem" TargetMode="External"/><Relationship Id="rId117" Type="http://schemas.openxmlformats.org/officeDocument/2006/relationships/hyperlink" Target="https://leetcode.com/problems/rotting-oranges/" TargetMode="External"/><Relationship Id="rId21" Type="http://schemas.openxmlformats.org/officeDocument/2006/relationships/hyperlink" Target="https://hack.codingblocks.com/app/contests/1157/546/problem" TargetMode="External"/><Relationship Id="rId42" Type="http://schemas.openxmlformats.org/officeDocument/2006/relationships/hyperlink" Target="https://leetcode.com/problems/keys-and-rooms/" TargetMode="External"/><Relationship Id="rId47" Type="http://schemas.openxmlformats.org/officeDocument/2006/relationships/hyperlink" Target="https://leetcode.com/problems/course-schedule/" TargetMode="External"/><Relationship Id="rId63" Type="http://schemas.openxmlformats.org/officeDocument/2006/relationships/hyperlink" Target="https://leetcode.com/problems/number-of-islands/" TargetMode="External"/><Relationship Id="rId68" Type="http://schemas.openxmlformats.org/officeDocument/2006/relationships/hyperlink" Target="https://leetcode.com/problems/time-needed-to-inform-all-employees/submissions/" TargetMode="External"/><Relationship Id="rId84" Type="http://schemas.openxmlformats.org/officeDocument/2006/relationships/hyperlink" Target="https://codeforces.com/contest/1513/problem/C" TargetMode="External"/><Relationship Id="rId89" Type="http://schemas.openxmlformats.org/officeDocument/2006/relationships/hyperlink" Target="https://www.codingninjas.com/codestudio/problems/binary-strings-with-no-consecutive-1s_893001?leftPanelTab=0" TargetMode="External"/><Relationship Id="rId112" Type="http://schemas.openxmlformats.org/officeDocument/2006/relationships/hyperlink" Target="https://practice.geeksforgeeks.org/problems/minimum-cost-path3833/1" TargetMode="External"/><Relationship Id="rId16" Type="http://schemas.openxmlformats.org/officeDocument/2006/relationships/hyperlink" Target="https://www.codechef.com/INOIPRAC/problems/INOI1301" TargetMode="External"/><Relationship Id="rId107" Type="http://schemas.openxmlformats.org/officeDocument/2006/relationships/hyperlink" Target="https://atcoder.jp/contests/arc076/tasks/arc076_b" TargetMode="External"/><Relationship Id="rId11" Type="http://schemas.openxmlformats.org/officeDocument/2006/relationships/hyperlink" Target="https://codeforces.com/contest/455/problem/A" TargetMode="External"/><Relationship Id="rId32" Type="http://schemas.openxmlformats.org/officeDocument/2006/relationships/hyperlink" Target="https://hack.codingblocks.com/app/contests/1157/1083/problem" TargetMode="External"/><Relationship Id="rId37" Type="http://schemas.openxmlformats.org/officeDocument/2006/relationships/hyperlink" Target="https://practice.geeksforgeeks.org/problems/find-all-distinct-subset-or-subsequence-sums4424/1" TargetMode="External"/><Relationship Id="rId53" Type="http://schemas.openxmlformats.org/officeDocument/2006/relationships/hyperlink" Target="https://codeforces.com/problemset/problem/234/C" TargetMode="External"/><Relationship Id="rId58" Type="http://schemas.openxmlformats.org/officeDocument/2006/relationships/hyperlink" Target="https://leetcode.com/problems/predict-the-winner/" TargetMode="External"/><Relationship Id="rId74" Type="http://schemas.openxmlformats.org/officeDocument/2006/relationships/hyperlink" Target="https://hack.codingblocks.com/app/contests/1157/1353/problem" TargetMode="External"/><Relationship Id="rId79" Type="http://schemas.openxmlformats.org/officeDocument/2006/relationships/hyperlink" Target="https://atcoder.jp/contests/abc206/tasks/abc206_d" TargetMode="External"/><Relationship Id="rId102" Type="http://schemas.openxmlformats.org/officeDocument/2006/relationships/hyperlink" Target="https://leetcode.com/problems/making-a-large-island/" TargetMode="External"/><Relationship Id="rId123" Type="http://schemas.openxmlformats.org/officeDocument/2006/relationships/hyperlink" Target="https://leetcode.com/problems/minimum-weighted-subgraph-with-the-required-paths/" TargetMode="External"/><Relationship Id="rId5" Type="http://schemas.openxmlformats.org/officeDocument/2006/relationships/hyperlink" Target="https://hack.codingblocks.com/app/contests/1157/428/problem" TargetMode="External"/><Relationship Id="rId90" Type="http://schemas.openxmlformats.org/officeDocument/2006/relationships/hyperlink" Target="https://leetcode.com/problems/most-stones-removed-with-same-row-or-column/" TargetMode="External"/><Relationship Id="rId95" Type="http://schemas.openxmlformats.org/officeDocument/2006/relationships/hyperlink" Target="https://codeforces.com/problemset/problem/217/A" TargetMode="External"/><Relationship Id="rId22" Type="http://schemas.openxmlformats.org/officeDocument/2006/relationships/hyperlink" Target="https://hack.codingblocks.com/app/contests/1157/504/problem" TargetMode="External"/><Relationship Id="rId27" Type="http://schemas.openxmlformats.org/officeDocument/2006/relationships/hyperlink" Target="https://hack.codingblocks.com/app/contests/1157/1064/problem" TargetMode="External"/><Relationship Id="rId43" Type="http://schemas.openxmlformats.org/officeDocument/2006/relationships/hyperlink" Target="https://leetcode.com/problems/max-area-of-island/" TargetMode="External"/><Relationship Id="rId48" Type="http://schemas.openxmlformats.org/officeDocument/2006/relationships/hyperlink" Target="https://leetcode.com/problems/is-graph-bipartite/" TargetMode="External"/><Relationship Id="rId64" Type="http://schemas.openxmlformats.org/officeDocument/2006/relationships/hyperlink" Target="https://leetcode.com/problems/flood-fill/" TargetMode="External"/><Relationship Id="rId69" Type="http://schemas.openxmlformats.org/officeDocument/2006/relationships/hyperlink" Target="https://leetcode.com/problems/all-paths-from-source-to-target/" TargetMode="External"/><Relationship Id="rId113" Type="http://schemas.openxmlformats.org/officeDocument/2006/relationships/hyperlink" Target="https://leetcode.com/problems/cheapest-flights-within-k-stops/" TargetMode="External"/><Relationship Id="rId118" Type="http://schemas.openxmlformats.org/officeDocument/2006/relationships/hyperlink" Target="https://leetcode.com/problems/shortest-bridge/" TargetMode="External"/><Relationship Id="rId80" Type="http://schemas.openxmlformats.org/officeDocument/2006/relationships/hyperlink" Target="https://leetcode.com/problems/number-of-provinces/" TargetMode="External"/><Relationship Id="rId85" Type="http://schemas.openxmlformats.org/officeDocument/2006/relationships/hyperlink" Target="https://www.codingninjas.com/codestudio/problems/count-ways_758964?leftPanelTab=0" TargetMode="External"/><Relationship Id="rId12" Type="http://schemas.openxmlformats.org/officeDocument/2006/relationships/hyperlink" Target="https://hack.codingblocks.com/app/contests/1157/701/problem" TargetMode="External"/><Relationship Id="rId17" Type="http://schemas.openxmlformats.org/officeDocument/2006/relationships/hyperlink" Target="https://hack.codingblocks.com/app/contests/1157/682/problem" TargetMode="External"/><Relationship Id="rId33" Type="http://schemas.openxmlformats.org/officeDocument/2006/relationships/hyperlink" Target="https://leetcode.com/problems/find-center-of-star-graph/" TargetMode="External"/><Relationship Id="rId38" Type="http://schemas.openxmlformats.org/officeDocument/2006/relationships/hyperlink" Target="https://atcoder.jp/contests/tdpc/tasks/tdpc_contest" TargetMode="External"/><Relationship Id="rId59" Type="http://schemas.openxmlformats.org/officeDocument/2006/relationships/hyperlink" Target="https://www.hackerrank.com/contests/all-india-contest-by-mission-helix-a-31-october/challenges/palindromic-query/problem" TargetMode="External"/><Relationship Id="rId103" Type="http://schemas.openxmlformats.org/officeDocument/2006/relationships/hyperlink" Target="https://leetcode.com/problems/min-cost-to-connect-all-points/" TargetMode="External"/><Relationship Id="rId108" Type="http://schemas.openxmlformats.org/officeDocument/2006/relationships/hyperlink" Target="https://leetcode.com/problems/network-delay-time/" TargetMode="External"/><Relationship Id="rId124" Type="http://schemas.openxmlformats.org/officeDocument/2006/relationships/printerSettings" Target="../printerSettings/printerSettings5.bin"/><Relationship Id="rId54" Type="http://schemas.openxmlformats.org/officeDocument/2006/relationships/hyperlink" Target="https://codeforces.com/problemset/problem/698/A" TargetMode="External"/><Relationship Id="rId70" Type="http://schemas.openxmlformats.org/officeDocument/2006/relationships/hyperlink" Target="https://leetcode.com/problems/course-schedule-ii/" TargetMode="External"/><Relationship Id="rId75" Type="http://schemas.openxmlformats.org/officeDocument/2006/relationships/hyperlink" Target="https://leetcode.com/problems/largest-color-value-in-a-directed-graph/" TargetMode="External"/><Relationship Id="rId91" Type="http://schemas.openxmlformats.org/officeDocument/2006/relationships/hyperlink" Target="https://leetcode.com/problems/flower-planting-with-no-adjacent/" TargetMode="External"/><Relationship Id="rId96" Type="http://schemas.openxmlformats.org/officeDocument/2006/relationships/hyperlink" Target="https://leetcode.com/problems/number-of-enclaves/" TargetMode="External"/><Relationship Id="rId1" Type="http://schemas.openxmlformats.org/officeDocument/2006/relationships/hyperlink" Target="https://hack.codingblocks.com/app/contests/1157/303/problem" TargetMode="External"/><Relationship Id="rId6" Type="http://schemas.openxmlformats.org/officeDocument/2006/relationships/hyperlink" Target="https://hack.codingblocks.com/app/contests/1157/436/problem" TargetMode="External"/><Relationship Id="rId23" Type="http://schemas.openxmlformats.org/officeDocument/2006/relationships/hyperlink" Target="https://hack.codingblocks.com/app/contests/1157/690/problem" TargetMode="External"/><Relationship Id="rId28" Type="http://schemas.openxmlformats.org/officeDocument/2006/relationships/hyperlink" Target="https://hack.codingblocks.com/app/contests/1157/703/problem" TargetMode="External"/><Relationship Id="rId49" Type="http://schemas.openxmlformats.org/officeDocument/2006/relationships/hyperlink" Target="https://leetcode.com/problems/detect-cycles-in-2d-grid/" TargetMode="External"/><Relationship Id="rId114" Type="http://schemas.openxmlformats.org/officeDocument/2006/relationships/hyperlink" Target="https://leetcode.com/problems/find-the-city-with-the-smallest-number-of-neighbors-at-a-threshold-distance/" TargetMode="External"/><Relationship Id="rId119" Type="http://schemas.openxmlformats.org/officeDocument/2006/relationships/hyperlink" Target="https://leetcode.com/problems/map-of-highest-peak/" TargetMode="External"/><Relationship Id="rId44" Type="http://schemas.openxmlformats.org/officeDocument/2006/relationships/hyperlink" Target="https://www.hackerrank.com/challenges/journey-to-the-moon/problem" TargetMode="External"/><Relationship Id="rId60" Type="http://schemas.openxmlformats.org/officeDocument/2006/relationships/hyperlink" Target="https://leetcode.com/problems/word-search/" TargetMode="External"/><Relationship Id="rId65" Type="http://schemas.openxmlformats.org/officeDocument/2006/relationships/hyperlink" Target="https://leetcode.com/problems/island-perimeter/" TargetMode="External"/><Relationship Id="rId81" Type="http://schemas.openxmlformats.org/officeDocument/2006/relationships/hyperlink" Target="https://leetcode.com/problems/redundant-connection/" TargetMode="External"/><Relationship Id="rId86" Type="http://schemas.openxmlformats.org/officeDocument/2006/relationships/hyperlink" Target="https://www.codingninjas.com/codestudio/problems/count-ways_758964?leftPanelTab=0" TargetMode="External"/><Relationship Id="rId4" Type="http://schemas.openxmlformats.org/officeDocument/2006/relationships/hyperlink" Target="https://hack.codingblocks.com/app/contests/1157/1066/problem" TargetMode="External"/><Relationship Id="rId9" Type="http://schemas.openxmlformats.org/officeDocument/2006/relationships/hyperlink" Target="https://hack.codingblocks.com/app/contests/1157/36/problem" TargetMode="External"/><Relationship Id="rId13" Type="http://schemas.openxmlformats.org/officeDocument/2006/relationships/hyperlink" Target="https://www.codechef.com/ZCOPRAC/problems/ZCO14002" TargetMode="External"/><Relationship Id="rId18" Type="http://schemas.openxmlformats.org/officeDocument/2006/relationships/hyperlink" Target="https://hack.codingblocks.com/app/contests/1157/375/problem" TargetMode="External"/><Relationship Id="rId39" Type="http://schemas.openxmlformats.org/officeDocument/2006/relationships/hyperlink" Target="https://leetcode.com/problems/snakes-and-ladders/" TargetMode="External"/><Relationship Id="rId109" Type="http://schemas.openxmlformats.org/officeDocument/2006/relationships/hyperlink" Target="https://codeforces.com/contest/1613/problem/E" TargetMode="External"/><Relationship Id="rId34" Type="http://schemas.openxmlformats.org/officeDocument/2006/relationships/hyperlink" Target="https://leetcode.com/problems/maximal-network-rank/" TargetMode="External"/><Relationship Id="rId50" Type="http://schemas.openxmlformats.org/officeDocument/2006/relationships/hyperlink" Target="https://www.geeksforgeeks.org/check-graphs-cycle-odd-length/" TargetMode="External"/><Relationship Id="rId55" Type="http://schemas.openxmlformats.org/officeDocument/2006/relationships/hyperlink" Target="https://www.codechef.com/problems/CD1IT4" TargetMode="External"/><Relationship Id="rId76" Type="http://schemas.openxmlformats.org/officeDocument/2006/relationships/hyperlink" Target="https://cses.fi/problemset/task/1681" TargetMode="External"/><Relationship Id="rId97" Type="http://schemas.openxmlformats.org/officeDocument/2006/relationships/hyperlink" Target="https://leetcode.com/problems/count-servers-that-communicate/" TargetMode="External"/><Relationship Id="rId104" Type="http://schemas.openxmlformats.org/officeDocument/2006/relationships/hyperlink" Target="https://codeforces.com/contest/1525/problem/D" TargetMode="External"/><Relationship Id="rId120" Type="http://schemas.openxmlformats.org/officeDocument/2006/relationships/hyperlink" Target="https://leetcode.com/problems/minimum-height-trees/" TargetMode="External"/><Relationship Id="rId7" Type="http://schemas.openxmlformats.org/officeDocument/2006/relationships/hyperlink" Target="https://www.codechef.com/problems/JCWC02" TargetMode="External"/><Relationship Id="rId71" Type="http://schemas.openxmlformats.org/officeDocument/2006/relationships/hyperlink" Target="https://practice.geeksforgeeks.org/problems/knapsack-with-duplicate-items4201/1" TargetMode="External"/><Relationship Id="rId92" Type="http://schemas.openxmlformats.org/officeDocument/2006/relationships/hyperlink" Target="https://codeforces.com/edu/course/2/lesson/7/2/practice/contest/289391/problem/B" TargetMode="External"/><Relationship Id="rId2" Type="http://schemas.openxmlformats.org/officeDocument/2006/relationships/hyperlink" Target="https://hack.codingblocks.com/app/contests/1157/203/problem" TargetMode="External"/><Relationship Id="rId29" Type="http://schemas.openxmlformats.org/officeDocument/2006/relationships/hyperlink" Target="https://hack.codingblocks.com/app/contests/1157/281/problem" TargetMode="External"/><Relationship Id="rId24" Type="http://schemas.openxmlformats.org/officeDocument/2006/relationships/hyperlink" Target="https://hack.codingblocks.com/app/contests/1157/643/problem" TargetMode="External"/><Relationship Id="rId40" Type="http://schemas.openxmlformats.org/officeDocument/2006/relationships/hyperlink" Target="https://cses.fi/problemset/task/1667" TargetMode="External"/><Relationship Id="rId45" Type="http://schemas.openxmlformats.org/officeDocument/2006/relationships/hyperlink" Target="https://leetcode.com/problems/reconstruct-itinerary/" TargetMode="External"/><Relationship Id="rId66" Type="http://schemas.openxmlformats.org/officeDocument/2006/relationships/hyperlink" Target="https://leetcode.com/problems/coloring-a-border/" TargetMode="External"/><Relationship Id="rId87" Type="http://schemas.openxmlformats.org/officeDocument/2006/relationships/hyperlink" Target="https://atcoder.jp/contests/abc220/tasks/abc220_d" TargetMode="External"/><Relationship Id="rId110" Type="http://schemas.openxmlformats.org/officeDocument/2006/relationships/hyperlink" Target="https://www.codechef.com/problems/BESTPATH" TargetMode="External"/><Relationship Id="rId115" Type="http://schemas.openxmlformats.org/officeDocument/2006/relationships/hyperlink" Target="https://atcoder.jp/contests/abc143/tasks/abc143_e" TargetMode="External"/><Relationship Id="rId61" Type="http://schemas.openxmlformats.org/officeDocument/2006/relationships/hyperlink" Target="https://leetcode.com/problems/word-search-ii/" TargetMode="External"/><Relationship Id="rId82" Type="http://schemas.openxmlformats.org/officeDocument/2006/relationships/hyperlink" Target="https://leetcode.com/problems/number-of-operations-to-make-network-connected/" TargetMode="External"/><Relationship Id="rId19" Type="http://schemas.openxmlformats.org/officeDocument/2006/relationships/hyperlink" Target="https://hack.codingblocks.com/app/contests/1157/252/problem" TargetMode="External"/><Relationship Id="rId14" Type="http://schemas.openxmlformats.org/officeDocument/2006/relationships/hyperlink" Target="https://hack.codingblocks.com/app/contests/1157/2/problem" TargetMode="External"/><Relationship Id="rId30" Type="http://schemas.openxmlformats.org/officeDocument/2006/relationships/hyperlink" Target="https://hack.codingblocks.com/app/contests/1157/1343/problem" TargetMode="External"/><Relationship Id="rId35" Type="http://schemas.openxmlformats.org/officeDocument/2006/relationships/hyperlink" Target="https://leetcode.com/problems/minimum-degree-of-a-connected-trio-in-a-graph/" TargetMode="External"/><Relationship Id="rId56" Type="http://schemas.openxmlformats.org/officeDocument/2006/relationships/hyperlink" Target="https://leetcode.com/problems/path-with-maximum-gold/" TargetMode="External"/><Relationship Id="rId77" Type="http://schemas.openxmlformats.org/officeDocument/2006/relationships/hyperlink" Target="https://atcoder.jp/contests/abc219/tasks/abc219_d" TargetMode="External"/><Relationship Id="rId100" Type="http://schemas.openxmlformats.org/officeDocument/2006/relationships/hyperlink" Target="https://codeforces.com/contest/520/problem/B" TargetMode="External"/><Relationship Id="rId105" Type="http://schemas.openxmlformats.org/officeDocument/2006/relationships/hyperlink" Target="https://codeforces.com/contest/1509/problem/C" TargetMode="External"/><Relationship Id="rId8" Type="http://schemas.openxmlformats.org/officeDocument/2006/relationships/hyperlink" Target="https://hack.codingblocks.com/app/contests/1157/1076/problem" TargetMode="External"/><Relationship Id="rId51" Type="http://schemas.openxmlformats.org/officeDocument/2006/relationships/hyperlink" Target="https://www.geeksforgeeks.org/shortest-cycle-in-an-undirected-unweighted-graph/" TargetMode="External"/><Relationship Id="rId72" Type="http://schemas.openxmlformats.org/officeDocument/2006/relationships/hyperlink" Target="https://hack.codingblocks.com/app/contests/1157/35/problem" TargetMode="External"/><Relationship Id="rId93" Type="http://schemas.openxmlformats.org/officeDocument/2006/relationships/hyperlink" Target="https://codeforces.com/edu/course/2/lesson/7/1/practice/contest/289390/problem/C" TargetMode="External"/><Relationship Id="rId98" Type="http://schemas.openxmlformats.org/officeDocument/2006/relationships/hyperlink" Target="https://leetcode.com/problems/count-sub-islands/" TargetMode="External"/><Relationship Id="rId121" Type="http://schemas.openxmlformats.org/officeDocument/2006/relationships/hyperlink" Target="https://codeforces.com/contest/1592/problem/C" TargetMode="External"/><Relationship Id="rId3" Type="http://schemas.openxmlformats.org/officeDocument/2006/relationships/hyperlink" Target="https://hack.codingblocks.com/app/contests/1157/892/problem" TargetMode="External"/><Relationship Id="rId25" Type="http://schemas.openxmlformats.org/officeDocument/2006/relationships/hyperlink" Target="https://hack.codingblocks.com/app/contests/1157/1254/problem" TargetMode="External"/><Relationship Id="rId46" Type="http://schemas.openxmlformats.org/officeDocument/2006/relationships/hyperlink" Target="https://practice.geeksforgeeks.org/problems/detect-cycle-in-an-undirected-graph/1" TargetMode="External"/><Relationship Id="rId67" Type="http://schemas.openxmlformats.org/officeDocument/2006/relationships/hyperlink" Target="https://cses.fi/problemset/task/1674/" TargetMode="External"/><Relationship Id="rId116" Type="http://schemas.openxmlformats.org/officeDocument/2006/relationships/hyperlink" Target="https://leetcode.com/problems/01-matrix/" TargetMode="External"/><Relationship Id="rId20" Type="http://schemas.openxmlformats.org/officeDocument/2006/relationships/hyperlink" Target="https://hack.codingblocks.com/app/contests/1157/1101/problem" TargetMode="External"/><Relationship Id="rId41" Type="http://schemas.openxmlformats.org/officeDocument/2006/relationships/hyperlink" Target="https://leetcode.com/problems/word-ladder/" TargetMode="External"/><Relationship Id="rId62" Type="http://schemas.openxmlformats.org/officeDocument/2006/relationships/hyperlink" Target="https://leetcode.com/problems/number-of-closed-islands/" TargetMode="External"/><Relationship Id="rId83" Type="http://schemas.openxmlformats.org/officeDocument/2006/relationships/hyperlink" Target="https://www.codingninjas.com/codestudio/problems/count-ways-to-reach-nth-stairs_798650?leftPanelTab=0" TargetMode="External"/><Relationship Id="rId88" Type="http://schemas.openxmlformats.org/officeDocument/2006/relationships/hyperlink" Target="https://www.codingninjas.com/codestudio/problems/bfs-in-graph_973002?leftPanelTab=0" TargetMode="External"/><Relationship Id="rId111" Type="http://schemas.openxmlformats.org/officeDocument/2006/relationships/hyperlink" Target="https://codeforces.com/problemset/problem/1535/C" TargetMode="External"/><Relationship Id="rId15" Type="http://schemas.openxmlformats.org/officeDocument/2006/relationships/hyperlink" Target="https://www.codechef.com/problems/JCWC00" TargetMode="External"/><Relationship Id="rId36" Type="http://schemas.openxmlformats.org/officeDocument/2006/relationships/hyperlink" Target="https://codeforces.com/problemset/problem/1037/D" TargetMode="External"/><Relationship Id="rId57" Type="http://schemas.openxmlformats.org/officeDocument/2006/relationships/hyperlink" Target="https://codeforces.com/contest/910/problem/A" TargetMode="External"/><Relationship Id="rId106" Type="http://schemas.openxmlformats.org/officeDocument/2006/relationships/hyperlink" Target="https://leetcode.com/problems/remove-max-number-of-edges-to-keep-graph-fully-traversable/" TargetMode="External"/><Relationship Id="rId10" Type="http://schemas.openxmlformats.org/officeDocument/2006/relationships/hyperlink" Target="https://codeforces.com/contest/1114/problem/D" TargetMode="External"/><Relationship Id="rId31" Type="http://schemas.openxmlformats.org/officeDocument/2006/relationships/hyperlink" Target="https://hack.codingblocks.com/app/contests/1157/370/problem" TargetMode="External"/><Relationship Id="rId52" Type="http://schemas.openxmlformats.org/officeDocument/2006/relationships/hyperlink" Target="https://codeforces.com/contest/1195/problem/C" TargetMode="External"/><Relationship Id="rId73" Type="http://schemas.openxmlformats.org/officeDocument/2006/relationships/hyperlink" Target="https://hack.codingblocks.com/app/contests/1157/437/problem" TargetMode="External"/><Relationship Id="rId78" Type="http://schemas.openxmlformats.org/officeDocument/2006/relationships/hyperlink" Target="https://codeforces.com/contest/225/problem/C" TargetMode="External"/><Relationship Id="rId94" Type="http://schemas.openxmlformats.org/officeDocument/2006/relationships/hyperlink" Target="https://leetcode.com/problems/find-if-path-exists-in-graph/" TargetMode="External"/><Relationship Id="rId99" Type="http://schemas.openxmlformats.org/officeDocument/2006/relationships/hyperlink" Target="https://codeforces.com/problemset/problem/902/B" TargetMode="External"/><Relationship Id="rId101" Type="http://schemas.openxmlformats.org/officeDocument/2006/relationships/hyperlink" Target="https://codeforces.com/contest/1324/problem/E" TargetMode="External"/><Relationship Id="rId122" Type="http://schemas.openxmlformats.org/officeDocument/2006/relationships/hyperlink" Target="https://leetcode.com/problems/shortest-path-visiting-all-nod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DA779-6CF2-8045-9DE0-880424A4EED5}">
  <dimension ref="A1:E644"/>
  <sheetViews>
    <sheetView tabSelected="1" topLeftCell="A136" zoomScale="70" zoomScaleNormal="70" workbookViewId="0">
      <selection activeCell="B107" sqref="B107"/>
    </sheetView>
  </sheetViews>
  <sheetFormatPr defaultColWidth="11.19921875" defaultRowHeight="18"/>
  <cols>
    <col min="1" max="1" width="23" customWidth="1"/>
    <col min="2" max="2" width="109.8984375" style="29" customWidth="1"/>
    <col min="3" max="3" width="96.59765625" style="29" customWidth="1"/>
    <col min="4" max="4" width="49.296875" customWidth="1"/>
    <col min="5" max="5" width="21.8984375" customWidth="1"/>
    <col min="7" max="7" width="47.5" customWidth="1"/>
  </cols>
  <sheetData>
    <row r="1" spans="1:5" ht="21">
      <c r="A1" t="s">
        <v>622</v>
      </c>
      <c r="B1" s="27" t="s">
        <v>597</v>
      </c>
      <c r="C1" s="27" t="s">
        <v>515</v>
      </c>
    </row>
    <row r="2" spans="1:5">
      <c r="B2" s="16"/>
      <c r="C2" s="21"/>
    </row>
    <row r="4" spans="1:5" ht="19.8">
      <c r="A4" s="5" t="s">
        <v>447</v>
      </c>
      <c r="B4" s="34" t="s">
        <v>0</v>
      </c>
      <c r="C4" s="28" t="s">
        <v>488</v>
      </c>
      <c r="D4" s="6" t="s">
        <v>588</v>
      </c>
      <c r="E4" s="9"/>
    </row>
    <row r="5" spans="1:5" ht="19.8">
      <c r="A5" s="7"/>
      <c r="B5" s="29" t="s">
        <v>598</v>
      </c>
      <c r="D5" s="8"/>
    </row>
    <row r="6" spans="1:5" ht="19.8">
      <c r="A6" s="2"/>
      <c r="B6" s="16" t="s">
        <v>1</v>
      </c>
      <c r="C6" s="21"/>
      <c r="D6" s="8"/>
    </row>
    <row r="7" spans="1:5" ht="19.8">
      <c r="A7" s="2"/>
      <c r="B7" s="16" t="s">
        <v>2</v>
      </c>
      <c r="C7" s="21"/>
      <c r="D7" s="8"/>
    </row>
    <row r="8" spans="1:5" ht="19.8">
      <c r="A8" s="2"/>
      <c r="B8" s="16" t="s">
        <v>3</v>
      </c>
      <c r="C8" s="21"/>
      <c r="D8" s="8"/>
    </row>
    <row r="9" spans="1:5" ht="19.8">
      <c r="A9" s="2"/>
      <c r="B9" s="16" t="s">
        <v>4</v>
      </c>
      <c r="C9" s="21"/>
      <c r="D9" s="8"/>
    </row>
    <row r="10" spans="1:5" ht="19.8">
      <c r="A10" s="2"/>
      <c r="B10" s="16" t="s">
        <v>5</v>
      </c>
      <c r="C10" s="21"/>
      <c r="D10" s="8"/>
    </row>
    <row r="11" spans="1:5" ht="19.8">
      <c r="A11" s="2"/>
      <c r="B11" s="16" t="s">
        <v>6</v>
      </c>
      <c r="C11" s="21"/>
      <c r="D11" s="8"/>
    </row>
    <row r="12" spans="1:5" ht="19.8">
      <c r="A12" s="2"/>
      <c r="B12" s="16" t="s">
        <v>7</v>
      </c>
      <c r="C12" s="21"/>
      <c r="D12" s="8"/>
    </row>
    <row r="13" spans="1:5" ht="19.8">
      <c r="A13" s="2"/>
      <c r="B13" s="16" t="s">
        <v>8</v>
      </c>
      <c r="C13" s="21"/>
      <c r="D13" s="8"/>
    </row>
    <row r="14" spans="1:5" ht="19.8">
      <c r="A14" s="2"/>
      <c r="B14" s="16" t="s">
        <v>9</v>
      </c>
      <c r="C14" s="21"/>
      <c r="D14" s="8"/>
    </row>
    <row r="15" spans="1:5" ht="19.8">
      <c r="A15" s="2"/>
      <c r="B15" s="16" t="s">
        <v>10</v>
      </c>
      <c r="C15" s="21"/>
      <c r="D15" s="8"/>
    </row>
    <row r="16" spans="1:5" ht="19.8">
      <c r="A16" s="2"/>
      <c r="B16" s="16" t="s">
        <v>11</v>
      </c>
      <c r="C16" s="21"/>
      <c r="D16" s="8"/>
    </row>
    <row r="17" spans="1:4" ht="19.8">
      <c r="A17" s="2"/>
      <c r="B17" s="16" t="s">
        <v>12</v>
      </c>
      <c r="C17" s="21"/>
      <c r="D17" s="8"/>
    </row>
    <row r="18" spans="1:4" ht="72.599999999999994">
      <c r="A18" s="2"/>
      <c r="B18" s="15" t="s">
        <v>590</v>
      </c>
      <c r="C18" s="20" t="s">
        <v>619</v>
      </c>
      <c r="D18" s="8"/>
    </row>
    <row r="19" spans="1:4" ht="32.4">
      <c r="A19" s="2"/>
      <c r="B19" s="15" t="s">
        <v>13</v>
      </c>
      <c r="C19" s="30" t="s">
        <v>589</v>
      </c>
      <c r="D19" s="8"/>
    </row>
    <row r="20" spans="1:4" ht="19.8">
      <c r="A20" s="2" t="s">
        <v>474</v>
      </c>
      <c r="B20" s="19" t="s">
        <v>620</v>
      </c>
      <c r="C20" s="30" t="s">
        <v>621</v>
      </c>
      <c r="D20" s="8"/>
    </row>
    <row r="21" spans="1:4" ht="19.8">
      <c r="A21" s="2"/>
      <c r="B21" s="16" t="s">
        <v>14</v>
      </c>
      <c r="C21" s="21"/>
      <c r="D21" s="8"/>
    </row>
    <row r="22" spans="1:4" ht="19.8">
      <c r="A22" s="2"/>
      <c r="B22" s="16" t="s">
        <v>15</v>
      </c>
      <c r="C22" s="21"/>
      <c r="D22" s="8"/>
    </row>
    <row r="23" spans="1:4" ht="19.8">
      <c r="A23" s="2"/>
      <c r="B23" s="16" t="s">
        <v>16</v>
      </c>
      <c r="C23" s="21"/>
      <c r="D23" s="8"/>
    </row>
    <row r="24" spans="1:4" ht="19.8">
      <c r="A24" s="2"/>
      <c r="B24" s="15" t="s">
        <v>17</v>
      </c>
      <c r="C24" s="21" t="s">
        <v>541</v>
      </c>
      <c r="D24" s="8"/>
    </row>
    <row r="25" spans="1:4" ht="19.8">
      <c r="A25" s="2"/>
      <c r="B25" s="16" t="s">
        <v>18</v>
      </c>
      <c r="C25" s="21"/>
      <c r="D25" s="8"/>
    </row>
    <row r="26" spans="1:4" ht="19.8">
      <c r="A26" s="2"/>
      <c r="B26" s="16" t="s">
        <v>19</v>
      </c>
      <c r="C26" s="21"/>
      <c r="D26" s="8"/>
    </row>
    <row r="27" spans="1:4" ht="19.8">
      <c r="A27" s="2"/>
      <c r="B27" s="16" t="s">
        <v>20</v>
      </c>
      <c r="C27" s="21"/>
      <c r="D27" s="8"/>
    </row>
    <row r="28" spans="1:4" ht="19.8">
      <c r="A28" s="2"/>
      <c r="B28" s="16" t="s">
        <v>21</v>
      </c>
      <c r="C28" s="21"/>
      <c r="D28" s="8"/>
    </row>
    <row r="29" spans="1:4" ht="19.8">
      <c r="A29" s="2"/>
      <c r="B29" s="16" t="s">
        <v>22</v>
      </c>
      <c r="C29" s="21"/>
      <c r="D29" s="8"/>
    </row>
    <row r="30" spans="1:4" ht="19.8">
      <c r="A30" s="2"/>
      <c r="B30" s="16" t="s">
        <v>23</v>
      </c>
      <c r="C30" s="21"/>
      <c r="D30" s="8"/>
    </row>
    <row r="31" spans="1:4" ht="19.8">
      <c r="A31" s="2"/>
      <c r="B31" s="16" t="s">
        <v>24</v>
      </c>
      <c r="C31" s="21"/>
      <c r="D31" s="8"/>
    </row>
    <row r="32" spans="1:4" ht="19.8">
      <c r="A32" s="2"/>
      <c r="B32" s="16" t="s">
        <v>25</v>
      </c>
      <c r="C32" s="21"/>
      <c r="D32" s="8"/>
    </row>
    <row r="33" spans="1:4" ht="19.8">
      <c r="A33" s="2"/>
      <c r="B33" s="16" t="s">
        <v>26</v>
      </c>
      <c r="C33" s="21"/>
      <c r="D33" s="8"/>
    </row>
    <row r="34" spans="1:4" ht="19.8">
      <c r="A34" s="2"/>
      <c r="B34" s="16" t="s">
        <v>27</v>
      </c>
      <c r="C34" s="21"/>
      <c r="D34" s="8"/>
    </row>
    <row r="35" spans="1:4" ht="19.8">
      <c r="A35" s="2"/>
      <c r="B35" s="16" t="s">
        <v>28</v>
      </c>
      <c r="C35" s="21"/>
      <c r="D35" s="8"/>
    </row>
    <row r="36" spans="1:4" ht="19.8">
      <c r="A36" s="2"/>
      <c r="B36" s="16" t="s">
        <v>29</v>
      </c>
      <c r="C36" s="21"/>
      <c r="D36" s="8"/>
    </row>
    <row r="37" spans="1:4" ht="19.8">
      <c r="A37" s="2"/>
      <c r="B37" s="16" t="s">
        <v>30</v>
      </c>
      <c r="C37" s="21"/>
      <c r="D37" s="8"/>
    </row>
    <row r="38" spans="1:4" ht="19.8">
      <c r="A38" s="2"/>
      <c r="B38" s="16" t="s">
        <v>31</v>
      </c>
      <c r="C38" s="21"/>
      <c r="D38" s="8"/>
    </row>
    <row r="39" spans="1:4" ht="19.8">
      <c r="A39" s="2"/>
      <c r="B39" s="16" t="s">
        <v>32</v>
      </c>
      <c r="C39" s="21"/>
      <c r="D39" s="8"/>
    </row>
    <row r="40" spans="1:4" ht="19.8">
      <c r="A40" s="2"/>
      <c r="B40" s="16" t="s">
        <v>33</v>
      </c>
      <c r="C40" s="21"/>
      <c r="D40" s="8"/>
    </row>
    <row r="41" spans="1:4" ht="19.8">
      <c r="A41" s="2"/>
      <c r="B41" s="16" t="s">
        <v>34</v>
      </c>
      <c r="C41" s="21"/>
      <c r="D41" s="8"/>
    </row>
    <row r="42" spans="1:4" ht="19.8">
      <c r="A42" s="2"/>
      <c r="B42" s="16" t="s">
        <v>35</v>
      </c>
      <c r="C42" s="21"/>
      <c r="D42" s="8"/>
    </row>
    <row r="43" spans="1:4" ht="19.8">
      <c r="A43" s="2"/>
      <c r="B43" s="16" t="s">
        <v>36</v>
      </c>
      <c r="C43" s="21"/>
      <c r="D43" s="8"/>
    </row>
    <row r="44" spans="1:4" ht="19.8">
      <c r="A44" s="2"/>
      <c r="B44" s="15" t="s">
        <v>542</v>
      </c>
      <c r="C44" s="21" t="s">
        <v>543</v>
      </c>
      <c r="D44" s="8"/>
    </row>
    <row r="45" spans="1:4" ht="19.8">
      <c r="A45" s="2"/>
      <c r="B45" s="15" t="s">
        <v>544</v>
      </c>
      <c r="C45" s="21" t="s">
        <v>543</v>
      </c>
      <c r="D45" s="8"/>
    </row>
    <row r="46" spans="1:4" ht="19.8">
      <c r="A46" s="2"/>
      <c r="B46" s="15" t="s">
        <v>545</v>
      </c>
      <c r="C46" s="21"/>
      <c r="D46" s="8"/>
    </row>
    <row r="47" spans="1:4" ht="19.8">
      <c r="A47" s="2"/>
      <c r="B47" s="15" t="s">
        <v>1451</v>
      </c>
      <c r="C47" s="29" t="s">
        <v>536</v>
      </c>
      <c r="D47" s="8"/>
    </row>
    <row r="48" spans="1:4" ht="19.8">
      <c r="A48" s="2"/>
      <c r="D48" s="8"/>
    </row>
    <row r="49" spans="1:4" ht="19.8">
      <c r="A49" s="2"/>
      <c r="B49" s="16" t="s">
        <v>37</v>
      </c>
      <c r="C49" s="21"/>
      <c r="D49" s="8"/>
    </row>
    <row r="50" spans="1:4" ht="19.8">
      <c r="A50" s="2"/>
      <c r="B50" s="16" t="s">
        <v>38</v>
      </c>
      <c r="C50" s="21"/>
      <c r="D50" s="8"/>
    </row>
    <row r="51" spans="1:4" ht="19.8">
      <c r="A51" s="2"/>
      <c r="B51" s="16" t="s">
        <v>39</v>
      </c>
      <c r="C51" s="21"/>
      <c r="D51" s="8"/>
    </row>
    <row r="52" spans="1:4" ht="19.8">
      <c r="A52" s="2"/>
      <c r="B52" s="16" t="s">
        <v>40</v>
      </c>
      <c r="C52" s="21"/>
      <c r="D52" s="8"/>
    </row>
    <row r="53" spans="1:4" ht="19.8">
      <c r="A53" s="2"/>
      <c r="B53" s="16" t="s">
        <v>41</v>
      </c>
      <c r="C53" s="21"/>
      <c r="D53" s="8"/>
    </row>
    <row r="54" spans="1:4" ht="19.8">
      <c r="A54" s="2"/>
      <c r="B54" s="16" t="s">
        <v>42</v>
      </c>
      <c r="C54" s="21"/>
      <c r="D54" s="8"/>
    </row>
    <row r="55" spans="1:4" ht="19.8">
      <c r="A55" s="2"/>
      <c r="B55" s="16" t="s">
        <v>43</v>
      </c>
      <c r="C55" s="21"/>
      <c r="D55" s="8"/>
    </row>
    <row r="56" spans="1:4" ht="19.8">
      <c r="A56" s="2"/>
      <c r="B56" s="16" t="s">
        <v>44</v>
      </c>
      <c r="C56" s="21"/>
      <c r="D56" s="8"/>
    </row>
    <row r="57" spans="1:4" ht="19.8">
      <c r="A57" s="2"/>
      <c r="B57" s="16" t="s">
        <v>45</v>
      </c>
      <c r="C57" s="21"/>
      <c r="D57" s="8"/>
    </row>
    <row r="58" spans="1:4" ht="19.8">
      <c r="A58" s="2"/>
      <c r="B58" s="16" t="s">
        <v>46</v>
      </c>
      <c r="C58" s="21"/>
      <c r="D58" s="8"/>
    </row>
    <row r="59" spans="1:4" ht="19.8">
      <c r="A59" s="2"/>
    </row>
    <row r="60" spans="1:4" ht="19.8">
      <c r="A60" s="2"/>
      <c r="B60" s="29" t="s">
        <v>599</v>
      </c>
      <c r="D60" s="1"/>
    </row>
    <row r="61" spans="1:4" ht="19.8">
      <c r="A61" s="2"/>
      <c r="B61" s="15" t="s">
        <v>548</v>
      </c>
      <c r="D61" s="1"/>
    </row>
    <row r="62" spans="1:4" ht="72.599999999999994">
      <c r="A62" s="2" t="s">
        <v>474</v>
      </c>
      <c r="B62" s="15" t="s">
        <v>547</v>
      </c>
      <c r="C62" s="31" t="s">
        <v>1452</v>
      </c>
      <c r="D62" s="1"/>
    </row>
    <row r="63" spans="1:4" ht="19.8">
      <c r="A63" s="2"/>
      <c r="B63" s="15" t="s">
        <v>546</v>
      </c>
      <c r="D63" s="1"/>
    </row>
    <row r="64" spans="1:4" ht="19.8">
      <c r="A64" s="2"/>
      <c r="B64" s="16" t="s">
        <v>47</v>
      </c>
      <c r="C64" s="21"/>
      <c r="D64" s="1"/>
    </row>
    <row r="65" spans="1:4" ht="19.8">
      <c r="A65" s="2"/>
      <c r="B65" s="15" t="s">
        <v>48</v>
      </c>
      <c r="C65" s="21"/>
      <c r="D65" s="1"/>
    </row>
    <row r="66" spans="1:4" ht="19.8">
      <c r="A66" s="2"/>
      <c r="B66" s="16" t="s">
        <v>49</v>
      </c>
      <c r="C66" s="21"/>
      <c r="D66" s="1"/>
    </row>
    <row r="67" spans="1:4" ht="19.8">
      <c r="A67" s="2"/>
      <c r="B67" s="29" t="s">
        <v>50</v>
      </c>
      <c r="D67" s="1"/>
    </row>
    <row r="68" spans="1:4" ht="19.8">
      <c r="A68" s="2"/>
      <c r="B68" s="16" t="s">
        <v>51</v>
      </c>
      <c r="C68" s="21"/>
      <c r="D68" s="1"/>
    </row>
    <row r="69" spans="1:4" ht="19.8">
      <c r="A69" s="2"/>
      <c r="B69" s="16" t="s">
        <v>52</v>
      </c>
      <c r="C69" s="21"/>
      <c r="D69" s="1"/>
    </row>
    <row r="70" spans="1:4" ht="19.8">
      <c r="A70" s="2"/>
      <c r="B70" s="16" t="s">
        <v>53</v>
      </c>
      <c r="C70" s="21"/>
      <c r="D70" s="1"/>
    </row>
    <row r="71" spans="1:4" ht="19.8">
      <c r="A71" s="2"/>
      <c r="B71" s="16" t="s">
        <v>54</v>
      </c>
      <c r="C71" s="21"/>
      <c r="D71" s="1"/>
    </row>
    <row r="72" spans="1:4" ht="19.8">
      <c r="A72" s="2"/>
      <c r="B72" s="16" t="s">
        <v>55</v>
      </c>
      <c r="C72" s="21"/>
      <c r="D72" s="1"/>
    </row>
    <row r="73" spans="1:4" ht="19.8">
      <c r="A73" s="2"/>
      <c r="B73" s="16" t="s">
        <v>56</v>
      </c>
      <c r="C73" s="21"/>
      <c r="D73" s="1"/>
    </row>
    <row r="74" spans="1:4" ht="19.8">
      <c r="A74" s="2"/>
      <c r="B74" s="16" t="s">
        <v>57</v>
      </c>
      <c r="C74" s="21"/>
      <c r="D74" s="1"/>
    </row>
    <row r="75" spans="1:4" ht="19.8">
      <c r="A75" s="2"/>
      <c r="B75" s="16" t="s">
        <v>58</v>
      </c>
      <c r="C75" s="21"/>
      <c r="D75" s="1"/>
    </row>
    <row r="76" spans="1:4" ht="19.8">
      <c r="A76" s="2"/>
      <c r="B76" s="16" t="s">
        <v>59</v>
      </c>
      <c r="C76" s="21"/>
      <c r="D76" s="1"/>
    </row>
    <row r="77" spans="1:4" ht="19.8">
      <c r="A77" s="2"/>
      <c r="B77" s="16" t="s">
        <v>60</v>
      </c>
      <c r="C77" s="21"/>
      <c r="D77" s="1"/>
    </row>
    <row r="78" spans="1:4" ht="19.8">
      <c r="A78" s="2"/>
      <c r="B78" s="16" t="s">
        <v>61</v>
      </c>
      <c r="C78" s="21"/>
      <c r="D78" s="1"/>
    </row>
    <row r="79" spans="1:4" ht="19.8">
      <c r="A79" s="2"/>
      <c r="B79" s="16" t="s">
        <v>62</v>
      </c>
      <c r="C79" s="21"/>
      <c r="D79" s="1"/>
    </row>
    <row r="80" spans="1:4" ht="19.8">
      <c r="A80" s="2"/>
      <c r="B80" s="16" t="s">
        <v>63</v>
      </c>
      <c r="C80" s="21"/>
      <c r="D80" s="1"/>
    </row>
    <row r="81" spans="1:4" ht="19.8">
      <c r="A81" s="2"/>
      <c r="B81" s="16" t="s">
        <v>64</v>
      </c>
      <c r="C81" s="21"/>
      <c r="D81" s="1"/>
    </row>
    <row r="82" spans="1:4" ht="19.8">
      <c r="A82" s="2"/>
      <c r="B82" s="16" t="s">
        <v>65</v>
      </c>
      <c r="C82" s="21"/>
      <c r="D82" s="1"/>
    </row>
    <row r="83" spans="1:4" ht="19.8">
      <c r="A83" s="2"/>
      <c r="B83" s="16" t="s">
        <v>66</v>
      </c>
      <c r="C83" s="21"/>
      <c r="D83" s="1"/>
    </row>
    <row r="84" spans="1:4" ht="19.8">
      <c r="A84" s="2"/>
      <c r="B84" s="16" t="s">
        <v>67</v>
      </c>
      <c r="C84" s="21"/>
      <c r="D84" s="1"/>
    </row>
    <row r="85" spans="1:4" ht="19.8">
      <c r="A85" s="2"/>
      <c r="B85" s="16" t="s">
        <v>68</v>
      </c>
      <c r="C85" s="21"/>
      <c r="D85" s="1"/>
    </row>
    <row r="86" spans="1:4" ht="19.8">
      <c r="A86" s="2"/>
      <c r="B86" s="16" t="s">
        <v>69</v>
      </c>
      <c r="C86" s="21"/>
      <c r="D86" s="1"/>
    </row>
    <row r="87" spans="1:4" ht="19.8">
      <c r="A87" s="2"/>
      <c r="B87" s="16" t="s">
        <v>70</v>
      </c>
      <c r="C87" s="21"/>
      <c r="D87" s="1"/>
    </row>
    <row r="88" spans="1:4" ht="19.8">
      <c r="A88" s="2"/>
      <c r="B88" s="16" t="s">
        <v>71</v>
      </c>
      <c r="C88" s="21"/>
      <c r="D88" s="1"/>
    </row>
    <row r="89" spans="1:4" ht="19.8">
      <c r="A89" s="2"/>
      <c r="B89" s="16" t="s">
        <v>72</v>
      </c>
      <c r="C89" s="21"/>
      <c r="D89" s="1"/>
    </row>
    <row r="90" spans="1:4" ht="19.8">
      <c r="A90" s="2"/>
      <c r="B90" s="16" t="s">
        <v>73</v>
      </c>
      <c r="C90" s="21"/>
      <c r="D90" s="1"/>
    </row>
    <row r="91" spans="1:4" ht="19.8">
      <c r="A91" s="2"/>
      <c r="B91" s="16" t="s">
        <v>74</v>
      </c>
      <c r="C91" s="21"/>
      <c r="D91" s="1"/>
    </row>
    <row r="92" spans="1:4" ht="19.8">
      <c r="A92" s="2"/>
      <c r="B92" s="16" t="s">
        <v>75</v>
      </c>
      <c r="C92" s="21"/>
      <c r="D92" s="1"/>
    </row>
    <row r="93" spans="1:4" ht="19.8">
      <c r="A93" s="2"/>
      <c r="B93" s="16" t="s">
        <v>76</v>
      </c>
      <c r="C93" s="21"/>
      <c r="D93" s="1"/>
    </row>
    <row r="94" spans="1:4" ht="19.8">
      <c r="A94" s="2"/>
      <c r="B94" s="16" t="s">
        <v>77</v>
      </c>
      <c r="C94" s="21"/>
      <c r="D94" s="1"/>
    </row>
    <row r="95" spans="1:4" ht="19.8">
      <c r="A95" s="2"/>
      <c r="B95" s="16" t="s">
        <v>78</v>
      </c>
      <c r="C95" s="21"/>
      <c r="D95" s="1"/>
    </row>
    <row r="96" spans="1:4" ht="19.8">
      <c r="A96" s="2"/>
      <c r="B96" s="16" t="s">
        <v>79</v>
      </c>
      <c r="C96" s="21"/>
      <c r="D96" s="1"/>
    </row>
    <row r="97" spans="1:4" ht="19.8">
      <c r="A97" s="2"/>
      <c r="B97" s="16" t="s">
        <v>80</v>
      </c>
      <c r="C97" s="21"/>
      <c r="D97" s="1"/>
    </row>
    <row r="98" spans="1:4" ht="19.8">
      <c r="A98" s="2"/>
      <c r="B98" s="16" t="s">
        <v>81</v>
      </c>
      <c r="C98" s="21"/>
      <c r="D98" s="1"/>
    </row>
    <row r="99" spans="1:4" ht="19.8">
      <c r="A99" s="2"/>
      <c r="B99" s="16" t="s">
        <v>82</v>
      </c>
      <c r="C99" s="21"/>
      <c r="D99" s="1"/>
    </row>
    <row r="100" spans="1:4" ht="19.8">
      <c r="A100" s="2"/>
      <c r="B100" s="16" t="s">
        <v>83</v>
      </c>
      <c r="C100" s="21"/>
      <c r="D100" s="1"/>
    </row>
    <row r="101" spans="1:4" ht="19.8">
      <c r="A101" s="2"/>
      <c r="B101" s="16" t="s">
        <v>84</v>
      </c>
      <c r="C101" s="21"/>
      <c r="D101" s="1"/>
    </row>
    <row r="102" spans="1:4" ht="19.8">
      <c r="A102" s="2"/>
      <c r="B102" s="16" t="s">
        <v>85</v>
      </c>
      <c r="C102" s="21"/>
      <c r="D102" s="1"/>
    </row>
    <row r="103" spans="1:4" ht="19.8">
      <c r="A103" s="2"/>
      <c r="B103" s="16" t="s">
        <v>86</v>
      </c>
      <c r="C103" s="21"/>
      <c r="D103" s="1"/>
    </row>
    <row r="104" spans="1:4" ht="19.8">
      <c r="A104" s="2"/>
      <c r="B104" s="16" t="s">
        <v>87</v>
      </c>
      <c r="C104" s="21"/>
      <c r="D104" s="1"/>
    </row>
    <row r="105" spans="1:4" ht="19.8">
      <c r="A105" s="2"/>
      <c r="B105" s="16" t="s">
        <v>88</v>
      </c>
      <c r="C105" s="21"/>
      <c r="D105" s="1"/>
    </row>
    <row r="106" spans="1:4" ht="19.8">
      <c r="A106" s="2"/>
      <c r="B106" s="16" t="s">
        <v>89</v>
      </c>
      <c r="C106" s="21"/>
      <c r="D106" s="1"/>
    </row>
    <row r="107" spans="1:4" ht="19.8">
      <c r="A107" s="2"/>
    </row>
    <row r="108" spans="1:4" ht="19.8">
      <c r="A108" s="2"/>
      <c r="B108" s="29" t="s">
        <v>600</v>
      </c>
      <c r="D108" s="1"/>
    </row>
    <row r="109" spans="1:4" ht="19.8">
      <c r="A109" s="2"/>
      <c r="B109" s="15" t="s">
        <v>466</v>
      </c>
      <c r="D109" s="1"/>
    </row>
    <row r="110" spans="1:4" ht="19.8">
      <c r="A110" s="2"/>
      <c r="D110" s="1"/>
    </row>
    <row r="111" spans="1:4" ht="19.8">
      <c r="A111" s="2"/>
      <c r="D111" s="1"/>
    </row>
    <row r="112" spans="1:4" ht="19.8">
      <c r="A112" s="2"/>
      <c r="B112" s="15" t="s">
        <v>90</v>
      </c>
      <c r="C112" s="21"/>
      <c r="D112" s="1"/>
    </row>
    <row r="113" spans="1:4" ht="19.8">
      <c r="A113" s="2"/>
      <c r="B113" s="15" t="s">
        <v>91</v>
      </c>
      <c r="C113" s="21"/>
      <c r="D113" s="1"/>
    </row>
    <row r="114" spans="1:4" ht="19.8">
      <c r="A114" s="2"/>
      <c r="B114" s="15" t="s">
        <v>92</v>
      </c>
      <c r="C114" s="21"/>
      <c r="D114" s="1"/>
    </row>
    <row r="115" spans="1:4" ht="19.8">
      <c r="A115" s="2"/>
      <c r="B115" s="15" t="s">
        <v>93</v>
      </c>
      <c r="C115" s="21"/>
      <c r="D115" s="1"/>
    </row>
    <row r="116" spans="1:4" ht="19.8">
      <c r="A116" s="2"/>
      <c r="B116" s="16" t="s">
        <v>94</v>
      </c>
      <c r="C116" s="21"/>
      <c r="D116" s="1"/>
    </row>
    <row r="117" spans="1:4" ht="19.8">
      <c r="A117" s="2"/>
      <c r="B117" s="16" t="s">
        <v>95</v>
      </c>
      <c r="C117" s="21"/>
      <c r="D117" s="1"/>
    </row>
    <row r="118" spans="1:4" ht="19.8">
      <c r="A118" s="2"/>
      <c r="B118" s="16" t="s">
        <v>96</v>
      </c>
      <c r="C118" s="21"/>
      <c r="D118" s="1"/>
    </row>
    <row r="119" spans="1:4" ht="19.8">
      <c r="A119" s="2"/>
      <c r="B119" s="16" t="s">
        <v>97</v>
      </c>
      <c r="C119" s="21"/>
      <c r="D119" s="1"/>
    </row>
    <row r="120" spans="1:4" ht="19.8">
      <c r="A120" s="2"/>
      <c r="B120" s="16" t="s">
        <v>98</v>
      </c>
      <c r="C120" s="21"/>
      <c r="D120" s="1"/>
    </row>
    <row r="121" spans="1:4" ht="19.8">
      <c r="A121" s="2"/>
      <c r="B121" s="16" t="s">
        <v>99</v>
      </c>
      <c r="C121" s="21"/>
      <c r="D121" s="1"/>
    </row>
    <row r="122" spans="1:4" ht="19.8">
      <c r="A122" s="2"/>
      <c r="B122" s="16" t="s">
        <v>100</v>
      </c>
      <c r="C122" s="21"/>
      <c r="D122" s="1"/>
    </row>
    <row r="123" spans="1:4" ht="19.8">
      <c r="A123" s="2"/>
      <c r="B123" s="16" t="s">
        <v>101</v>
      </c>
      <c r="C123" s="21"/>
      <c r="D123" s="1"/>
    </row>
    <row r="124" spans="1:4" ht="19.8">
      <c r="A124" s="2"/>
      <c r="B124" s="16" t="s">
        <v>102</v>
      </c>
      <c r="C124" s="21"/>
      <c r="D124" s="1"/>
    </row>
    <row r="125" spans="1:4" ht="19.8">
      <c r="A125" s="2"/>
      <c r="B125" s="16" t="s">
        <v>103</v>
      </c>
      <c r="C125" s="21"/>
      <c r="D125" s="1"/>
    </row>
    <row r="126" spans="1:4" ht="19.8">
      <c r="A126" s="2"/>
      <c r="B126" s="16" t="s">
        <v>104</v>
      </c>
      <c r="C126" s="21"/>
      <c r="D126" s="1"/>
    </row>
    <row r="127" spans="1:4" ht="19.8">
      <c r="A127" s="2"/>
      <c r="B127" s="16" t="s">
        <v>105</v>
      </c>
      <c r="C127" s="21"/>
      <c r="D127" s="1"/>
    </row>
    <row r="128" spans="1:4" ht="19.8">
      <c r="A128" s="2"/>
      <c r="B128" s="16" t="s">
        <v>106</v>
      </c>
      <c r="C128" s="21"/>
      <c r="D128" s="1"/>
    </row>
    <row r="129" spans="1:4" ht="19.8">
      <c r="A129" s="2"/>
      <c r="B129" s="16" t="s">
        <v>107</v>
      </c>
      <c r="C129" s="21"/>
      <c r="D129" s="1"/>
    </row>
    <row r="130" spans="1:4" ht="19.8">
      <c r="A130" s="2"/>
      <c r="B130" s="16" t="s">
        <v>108</v>
      </c>
      <c r="C130" s="21"/>
      <c r="D130" s="1"/>
    </row>
    <row r="131" spans="1:4" ht="19.8">
      <c r="A131" s="2"/>
      <c r="B131" s="16" t="s">
        <v>109</v>
      </c>
      <c r="C131" s="21"/>
      <c r="D131" s="1"/>
    </row>
    <row r="132" spans="1:4" ht="19.8">
      <c r="A132" s="2"/>
      <c r="B132" s="16" t="s">
        <v>110</v>
      </c>
      <c r="C132" s="21"/>
      <c r="D132" s="1"/>
    </row>
    <row r="133" spans="1:4" ht="19.8">
      <c r="A133" s="2"/>
      <c r="B133" s="16" t="s">
        <v>111</v>
      </c>
      <c r="C133" s="21"/>
      <c r="D133" s="1"/>
    </row>
    <row r="134" spans="1:4" ht="19.8">
      <c r="A134" s="2"/>
      <c r="B134" s="16" t="s">
        <v>112</v>
      </c>
      <c r="C134" s="21"/>
      <c r="D134" s="1"/>
    </row>
    <row r="135" spans="1:4" ht="19.8">
      <c r="A135" s="2"/>
      <c r="B135" s="16" t="s">
        <v>113</v>
      </c>
      <c r="C135" s="21"/>
      <c r="D135" s="1"/>
    </row>
    <row r="136" spans="1:4" ht="19.8">
      <c r="A136" s="2"/>
      <c r="B136" s="16" t="s">
        <v>114</v>
      </c>
      <c r="C136" s="21"/>
      <c r="D136" s="1"/>
    </row>
    <row r="137" spans="1:4" ht="19.8">
      <c r="A137" s="2"/>
      <c r="B137" s="16" t="s">
        <v>115</v>
      </c>
      <c r="C137" s="21"/>
      <c r="D137" s="1"/>
    </row>
    <row r="138" spans="1:4" ht="19.8">
      <c r="A138" s="2"/>
      <c r="B138" s="16" t="s">
        <v>116</v>
      </c>
      <c r="C138" s="21"/>
      <c r="D138" s="1"/>
    </row>
    <row r="139" spans="1:4" ht="19.8">
      <c r="A139" s="2"/>
      <c r="B139" s="16" t="s">
        <v>117</v>
      </c>
      <c r="C139" s="21"/>
      <c r="D139" s="1"/>
    </row>
    <row r="140" spans="1:4" ht="19.8">
      <c r="A140" s="2"/>
      <c r="B140" s="16" t="s">
        <v>118</v>
      </c>
      <c r="C140" s="21"/>
      <c r="D140" s="1"/>
    </row>
    <row r="141" spans="1:4" ht="19.8">
      <c r="A141" s="2"/>
      <c r="B141" s="16" t="s">
        <v>119</v>
      </c>
      <c r="C141" s="21"/>
      <c r="D141" s="1"/>
    </row>
    <row r="142" spans="1:4" ht="19.8">
      <c r="A142" s="2"/>
      <c r="B142" s="16" t="s">
        <v>120</v>
      </c>
      <c r="C142" s="21"/>
      <c r="D142" s="1"/>
    </row>
    <row r="143" spans="1:4" ht="19.8">
      <c r="A143" s="2"/>
      <c r="B143" s="16" t="s">
        <v>121</v>
      </c>
      <c r="C143" s="21"/>
      <c r="D143" s="1"/>
    </row>
    <row r="144" spans="1:4" ht="19.8">
      <c r="A144" s="2"/>
      <c r="B144" s="16" t="s">
        <v>122</v>
      </c>
      <c r="C144" s="21"/>
      <c r="D144" s="1"/>
    </row>
    <row r="145" spans="1:4" ht="19.8">
      <c r="A145" s="2"/>
      <c r="B145" s="16" t="s">
        <v>123</v>
      </c>
      <c r="C145" s="21"/>
      <c r="D145" s="1"/>
    </row>
    <row r="146" spans="1:4" ht="19.8">
      <c r="A146" s="2"/>
      <c r="B146" s="16" t="s">
        <v>124</v>
      </c>
      <c r="C146" s="21"/>
      <c r="D146" s="1"/>
    </row>
    <row r="147" spans="1:4" ht="19.8">
      <c r="A147" s="2"/>
      <c r="B147" s="16" t="s">
        <v>125</v>
      </c>
      <c r="C147" s="21"/>
      <c r="D147" s="1"/>
    </row>
    <row r="148" spans="1:4" ht="19.8">
      <c r="A148" s="2"/>
    </row>
    <row r="149" spans="1:4" ht="19.8">
      <c r="A149" s="2"/>
      <c r="B149" s="29" t="s">
        <v>601</v>
      </c>
      <c r="D149" s="1"/>
    </row>
    <row r="150" spans="1:4" ht="19.8">
      <c r="A150" s="2"/>
      <c r="B150" s="22" t="s">
        <v>549</v>
      </c>
      <c r="D150" s="1"/>
    </row>
    <row r="151" spans="1:4" ht="19.8">
      <c r="A151" s="2"/>
      <c r="B151" s="15" t="s">
        <v>550</v>
      </c>
      <c r="D151" s="1"/>
    </row>
    <row r="152" spans="1:4" ht="19.8">
      <c r="A152" s="2"/>
      <c r="B152" s="15" t="s">
        <v>513</v>
      </c>
      <c r="C152" s="29" t="s">
        <v>514</v>
      </c>
      <c r="D152" s="1"/>
    </row>
    <row r="153" spans="1:4" ht="36.6">
      <c r="A153" s="13" t="s">
        <v>474</v>
      </c>
      <c r="B153" s="15" t="s">
        <v>126</v>
      </c>
      <c r="C153" s="20" t="s">
        <v>486</v>
      </c>
      <c r="D153" s="1"/>
    </row>
    <row r="154" spans="1:4" ht="19.8">
      <c r="A154" s="13" t="s">
        <v>474</v>
      </c>
      <c r="B154" s="15" t="s">
        <v>556</v>
      </c>
      <c r="C154" s="21"/>
      <c r="D154" s="1"/>
    </row>
    <row r="155" spans="1:4" ht="19.8">
      <c r="A155" s="13" t="s">
        <v>474</v>
      </c>
      <c r="B155" s="15" t="s">
        <v>472</v>
      </c>
      <c r="C155" s="21"/>
      <c r="D155" s="1"/>
    </row>
    <row r="156" spans="1:4" ht="19.8">
      <c r="A156" s="2"/>
      <c r="B156" s="15" t="s">
        <v>473</v>
      </c>
      <c r="C156" s="21"/>
      <c r="D156" s="1"/>
    </row>
    <row r="157" spans="1:4" ht="19.8">
      <c r="A157" s="2"/>
      <c r="B157" s="19" t="s">
        <v>510</v>
      </c>
      <c r="C157" s="21" t="s">
        <v>508</v>
      </c>
      <c r="D157" s="1"/>
    </row>
    <row r="158" spans="1:4" ht="19.8">
      <c r="A158" s="2"/>
      <c r="B158" s="15" t="s">
        <v>602</v>
      </c>
      <c r="C158" s="21"/>
      <c r="D158" s="1"/>
    </row>
    <row r="159" spans="1:4" ht="19.8">
      <c r="A159" s="2"/>
      <c r="B159" s="15" t="s">
        <v>127</v>
      </c>
      <c r="C159" s="16" t="s">
        <v>512</v>
      </c>
      <c r="D159" s="1"/>
    </row>
    <row r="160" spans="1:4" ht="19.8">
      <c r="A160" s="2" t="s">
        <v>474</v>
      </c>
      <c r="B160" s="15" t="s">
        <v>553</v>
      </c>
      <c r="C160" s="16"/>
      <c r="D160" s="1"/>
    </row>
    <row r="161" spans="1:4" ht="19.8">
      <c r="A161" s="2"/>
      <c r="B161" s="15" t="s">
        <v>128</v>
      </c>
      <c r="C161" s="21" t="s">
        <v>786</v>
      </c>
      <c r="D161" s="1"/>
    </row>
    <row r="162" spans="1:4" ht="19.8">
      <c r="A162" s="13" t="s">
        <v>474</v>
      </c>
      <c r="B162" s="15" t="s">
        <v>129</v>
      </c>
      <c r="C162" s="21" t="s">
        <v>1456</v>
      </c>
      <c r="D162" s="1"/>
    </row>
    <row r="163" spans="1:4" ht="19.8">
      <c r="A163" s="2"/>
      <c r="B163" s="15" t="s">
        <v>130</v>
      </c>
      <c r="C163" s="21"/>
      <c r="D163" s="1"/>
    </row>
    <row r="164" spans="1:4" ht="19.8">
      <c r="A164" s="2"/>
      <c r="B164" s="15" t="s">
        <v>131</v>
      </c>
      <c r="C164" s="21"/>
      <c r="D164" s="1"/>
    </row>
    <row r="165" spans="1:4" ht="19.8">
      <c r="A165" s="2"/>
      <c r="B165" s="15" t="s">
        <v>132</v>
      </c>
      <c r="C165" s="21"/>
      <c r="D165" s="1"/>
    </row>
    <row r="166" spans="1:4" ht="19.8">
      <c r="A166" s="2"/>
      <c r="B166" s="15" t="s">
        <v>133</v>
      </c>
      <c r="C166" s="21"/>
      <c r="D166" s="1"/>
    </row>
    <row r="167" spans="1:4" ht="19.8">
      <c r="A167" s="2"/>
      <c r="B167" s="15" t="s">
        <v>134</v>
      </c>
      <c r="C167" s="16" t="s">
        <v>496</v>
      </c>
      <c r="D167" s="1"/>
    </row>
    <row r="168" spans="1:4" ht="19.8">
      <c r="A168" s="2"/>
      <c r="B168" s="15" t="s">
        <v>135</v>
      </c>
      <c r="C168" s="21"/>
      <c r="D168" s="1"/>
    </row>
    <row r="169" spans="1:4" ht="36.6">
      <c r="A169" s="13" t="s">
        <v>474</v>
      </c>
      <c r="B169" s="15" t="s">
        <v>136</v>
      </c>
      <c r="C169" s="20" t="s">
        <v>539</v>
      </c>
      <c r="D169" s="1"/>
    </row>
    <row r="170" spans="1:4" ht="19.8">
      <c r="A170" s="2"/>
      <c r="B170" s="15" t="s">
        <v>509</v>
      </c>
      <c r="C170" s="21" t="s">
        <v>520</v>
      </c>
      <c r="D170" s="1"/>
    </row>
    <row r="171" spans="1:4" ht="19.8">
      <c r="A171" s="2"/>
      <c r="B171" s="15" t="s">
        <v>137</v>
      </c>
      <c r="C171" s="21" t="s">
        <v>519</v>
      </c>
      <c r="D171" s="1"/>
    </row>
    <row r="172" spans="1:4" ht="19.8">
      <c r="A172" s="2"/>
      <c r="B172" s="15" t="s">
        <v>554</v>
      </c>
      <c r="C172" s="21"/>
      <c r="D172" s="1"/>
    </row>
    <row r="173" spans="1:4" ht="19.8">
      <c r="A173" s="13" t="s">
        <v>474</v>
      </c>
      <c r="B173" s="19" t="s">
        <v>138</v>
      </c>
      <c r="C173" s="21"/>
      <c r="D173" s="1"/>
    </row>
    <row r="174" spans="1:4" ht="36.6">
      <c r="A174" s="2"/>
      <c r="B174" s="15" t="s">
        <v>511</v>
      </c>
      <c r="C174" s="20" t="s">
        <v>540</v>
      </c>
      <c r="D174" s="1"/>
    </row>
    <row r="175" spans="1:4" ht="19.8">
      <c r="A175" s="2"/>
      <c r="B175" s="15" t="s">
        <v>139</v>
      </c>
      <c r="C175" s="21"/>
      <c r="D175" s="1"/>
    </row>
    <row r="176" spans="1:4" ht="19.8">
      <c r="A176" s="2"/>
      <c r="B176" s="16" t="s">
        <v>140</v>
      </c>
      <c r="C176" s="21"/>
      <c r="D176" s="1"/>
    </row>
    <row r="177" spans="1:4" ht="19.8">
      <c r="A177" s="2"/>
      <c r="B177" s="15" t="s">
        <v>141</v>
      </c>
      <c r="C177" s="21" t="s">
        <v>507</v>
      </c>
      <c r="D177" s="1"/>
    </row>
    <row r="178" spans="1:4" ht="19.8">
      <c r="A178" s="2"/>
      <c r="B178" s="16" t="s">
        <v>142</v>
      </c>
      <c r="C178" s="21"/>
      <c r="D178" s="1"/>
    </row>
    <row r="179" spans="1:4" ht="19.8">
      <c r="A179" s="2"/>
      <c r="B179" s="15" t="s">
        <v>143</v>
      </c>
      <c r="C179" s="21"/>
      <c r="D179" s="1"/>
    </row>
    <row r="180" spans="1:4" ht="19.8">
      <c r="A180" s="2"/>
      <c r="B180" s="16" t="s">
        <v>144</v>
      </c>
      <c r="C180" s="21"/>
      <c r="D180" s="1"/>
    </row>
    <row r="181" spans="1:4" ht="19.8">
      <c r="A181" s="2"/>
      <c r="B181" s="16" t="s">
        <v>145</v>
      </c>
      <c r="C181" s="21"/>
      <c r="D181" s="1"/>
    </row>
    <row r="182" spans="1:4" ht="19.8">
      <c r="A182" s="2"/>
      <c r="B182" s="16" t="s">
        <v>146</v>
      </c>
      <c r="C182" s="21"/>
      <c r="D182" s="1"/>
    </row>
    <row r="183" spans="1:4" ht="19.8">
      <c r="A183" s="2"/>
      <c r="B183" s="16" t="s">
        <v>147</v>
      </c>
      <c r="C183" s="21"/>
      <c r="D183" s="1"/>
    </row>
    <row r="184" spans="1:4" ht="19.8">
      <c r="A184" s="2"/>
      <c r="B184" s="15" t="s">
        <v>523</v>
      </c>
      <c r="C184" s="21"/>
      <c r="D184" s="1"/>
    </row>
    <row r="185" spans="1:4" ht="19.8">
      <c r="A185" s="2"/>
      <c r="B185" s="16" t="s">
        <v>148</v>
      </c>
      <c r="C185" s="21"/>
      <c r="D185" s="1"/>
    </row>
    <row r="186" spans="1:4" ht="19.8">
      <c r="A186" s="2"/>
      <c r="B186" s="29" t="s">
        <v>149</v>
      </c>
      <c r="D186" s="1"/>
    </row>
    <row r="187" spans="1:4" ht="19.8">
      <c r="A187" s="2"/>
      <c r="B187" s="18" t="s">
        <v>150</v>
      </c>
      <c r="D187" s="1"/>
    </row>
    <row r="188" spans="1:4" ht="19.8">
      <c r="A188" s="2"/>
      <c r="B188" s="16" t="s">
        <v>151</v>
      </c>
      <c r="C188" s="21"/>
      <c r="D188" s="1"/>
    </row>
    <row r="189" spans="1:4" ht="36.6">
      <c r="A189" s="2"/>
      <c r="B189" s="15" t="s">
        <v>152</v>
      </c>
      <c r="C189" s="20" t="s">
        <v>559</v>
      </c>
      <c r="D189" s="1"/>
    </row>
    <row r="190" spans="1:4" ht="36.6">
      <c r="A190" s="13" t="s">
        <v>474</v>
      </c>
      <c r="B190" s="19" t="s">
        <v>153</v>
      </c>
      <c r="C190" s="20" t="s">
        <v>1455</v>
      </c>
      <c r="D190" s="1"/>
    </row>
    <row r="191" spans="1:4" ht="54.6">
      <c r="A191" s="2"/>
      <c r="B191" s="15" t="s">
        <v>154</v>
      </c>
      <c r="C191" s="20" t="s">
        <v>518</v>
      </c>
      <c r="D191" s="1"/>
    </row>
    <row r="192" spans="1:4" ht="19.8">
      <c r="A192" s="2"/>
      <c r="B192" s="22" t="s">
        <v>155</v>
      </c>
      <c r="C192" s="21"/>
      <c r="D192" s="1"/>
    </row>
    <row r="193" spans="1:4" ht="19.8">
      <c r="A193" s="2"/>
      <c r="B193" s="16" t="s">
        <v>156</v>
      </c>
      <c r="C193" s="21"/>
      <c r="D193" s="1"/>
    </row>
    <row r="194" spans="1:4" ht="19.8">
      <c r="A194" s="2"/>
      <c r="B194" s="15" t="s">
        <v>157</v>
      </c>
      <c r="C194" s="21"/>
      <c r="D194" s="1"/>
    </row>
    <row r="195" spans="1:4" ht="108.6">
      <c r="A195" s="13" t="s">
        <v>474</v>
      </c>
      <c r="B195" s="19" t="s">
        <v>158</v>
      </c>
      <c r="C195" s="20" t="s">
        <v>524</v>
      </c>
      <c r="D195" s="1"/>
    </row>
    <row r="196" spans="1:4" ht="19.8">
      <c r="A196" s="2"/>
      <c r="B196" s="16" t="s">
        <v>159</v>
      </c>
      <c r="C196" s="21"/>
      <c r="D196" s="1"/>
    </row>
    <row r="197" spans="1:4" ht="19.8">
      <c r="A197" s="2"/>
      <c r="B197" s="15" t="s">
        <v>516</v>
      </c>
      <c r="C197" s="21"/>
      <c r="D197" s="1"/>
    </row>
    <row r="198" spans="1:4" ht="19.8">
      <c r="A198" s="2"/>
      <c r="B198" s="15" t="s">
        <v>517</v>
      </c>
      <c r="C198" s="21"/>
      <c r="D198" s="1"/>
    </row>
    <row r="199" spans="1:4" ht="19.8">
      <c r="A199" s="2"/>
      <c r="B199" s="15" t="s">
        <v>521</v>
      </c>
    </row>
    <row r="200" spans="1:4" ht="19.8">
      <c r="A200" s="2"/>
      <c r="B200" s="15" t="s">
        <v>522</v>
      </c>
    </row>
    <row r="201" spans="1:4" ht="19.8">
      <c r="A201" s="13" t="s">
        <v>474</v>
      </c>
      <c r="B201" s="15" t="s">
        <v>603</v>
      </c>
    </row>
    <row r="202" spans="1:4" ht="36.6">
      <c r="A202" s="2"/>
      <c r="B202" s="15" t="s">
        <v>525</v>
      </c>
      <c r="C202" s="31" t="s">
        <v>526</v>
      </c>
    </row>
    <row r="203" spans="1:4" ht="19.8">
      <c r="A203" s="2"/>
      <c r="B203" s="18" t="s">
        <v>551</v>
      </c>
      <c r="C203" s="29" t="s">
        <v>552</v>
      </c>
    </row>
    <row r="204" spans="1:4" ht="19.8">
      <c r="A204" s="2"/>
      <c r="B204" s="35" t="s">
        <v>555</v>
      </c>
    </row>
    <row r="205" spans="1:4" ht="19.8">
      <c r="A205" s="2"/>
      <c r="B205" s="36" t="s">
        <v>557</v>
      </c>
    </row>
    <row r="206" spans="1:4" ht="20.399999999999999">
      <c r="A206" s="2"/>
      <c r="B206" s="37" t="s">
        <v>558</v>
      </c>
    </row>
    <row r="207" spans="1:4" ht="19.8">
      <c r="A207" s="2"/>
    </row>
    <row r="208" spans="1:4" ht="19.8">
      <c r="A208" s="2"/>
    </row>
    <row r="209" spans="1:4" ht="19.8">
      <c r="A209" s="2"/>
    </row>
    <row r="210" spans="1:4" ht="19.8">
      <c r="A210" s="2"/>
    </row>
    <row r="211" spans="1:4" ht="19.8">
      <c r="A211" s="2"/>
    </row>
    <row r="212" spans="1:4" ht="19.8">
      <c r="A212" s="2"/>
      <c r="B212" s="29" t="s">
        <v>604</v>
      </c>
      <c r="D212" s="1"/>
    </row>
    <row r="213" spans="1:4" ht="19.8">
      <c r="A213" s="2"/>
      <c r="D213" s="1"/>
    </row>
    <row r="214" spans="1:4" ht="19.8">
      <c r="A214" s="2"/>
      <c r="B214" s="15" t="s">
        <v>160</v>
      </c>
      <c r="C214" s="21" t="s">
        <v>591</v>
      </c>
      <c r="D214" s="1"/>
    </row>
    <row r="215" spans="1:4" ht="20.399999999999999">
      <c r="A215" s="2"/>
      <c r="B215" s="10" t="s">
        <v>437</v>
      </c>
      <c r="C215" s="21"/>
      <c r="D215" s="1"/>
    </row>
    <row r="216" spans="1:4" ht="19.8">
      <c r="A216" s="2"/>
      <c r="B216" s="17" t="s">
        <v>161</v>
      </c>
      <c r="C216" s="21"/>
      <c r="D216" s="1"/>
    </row>
    <row r="217" spans="1:4" ht="19.8">
      <c r="A217" s="2"/>
      <c r="B217" s="15" t="s">
        <v>605</v>
      </c>
      <c r="C217" s="21"/>
      <c r="D217" s="1"/>
    </row>
    <row r="218" spans="1:4" ht="19.8">
      <c r="A218" s="2"/>
      <c r="B218" s="16" t="s">
        <v>162</v>
      </c>
      <c r="C218" s="21"/>
      <c r="D218" s="1"/>
    </row>
    <row r="219" spans="1:4" ht="19.8">
      <c r="A219" s="2"/>
      <c r="B219" s="16"/>
      <c r="C219" s="21"/>
      <c r="D219" s="1"/>
    </row>
    <row r="220" spans="1:4" ht="19.8">
      <c r="A220" s="2"/>
      <c r="B220" s="16" t="s">
        <v>163</v>
      </c>
      <c r="C220" s="21"/>
      <c r="D220" s="1"/>
    </row>
    <row r="221" spans="1:4" ht="19.8">
      <c r="A221" s="2"/>
      <c r="B221" s="16" t="s">
        <v>164</v>
      </c>
      <c r="C221" s="21"/>
      <c r="D221" s="1"/>
    </row>
    <row r="222" spans="1:4" ht="19.8">
      <c r="A222" s="2"/>
      <c r="B222" s="15" t="s">
        <v>435</v>
      </c>
      <c r="C222" s="21" t="s">
        <v>436</v>
      </c>
      <c r="D222" s="1"/>
    </row>
    <row r="223" spans="1:4" ht="19.8">
      <c r="A223" s="2"/>
      <c r="B223" s="15" t="s">
        <v>165</v>
      </c>
      <c r="C223" s="21" t="s">
        <v>436</v>
      </c>
      <c r="D223" s="1"/>
    </row>
    <row r="224" spans="1:4" ht="19.8">
      <c r="A224" s="2"/>
      <c r="B224" s="16" t="s">
        <v>166</v>
      </c>
      <c r="C224" s="21"/>
      <c r="D224" s="1"/>
    </row>
    <row r="225" spans="1:5" ht="19.8">
      <c r="A225" s="13" t="s">
        <v>474</v>
      </c>
      <c r="B225" s="19" t="s">
        <v>527</v>
      </c>
      <c r="C225" s="21" t="s">
        <v>528</v>
      </c>
      <c r="D225" s="1"/>
    </row>
    <row r="226" spans="1:5" ht="19.8">
      <c r="A226" s="13"/>
      <c r="B226" s="19" t="s">
        <v>529</v>
      </c>
      <c r="C226" s="21"/>
      <c r="D226" s="1"/>
    </row>
    <row r="227" spans="1:5" ht="19.8">
      <c r="A227" s="2"/>
      <c r="B227" s="16" t="s">
        <v>167</v>
      </c>
      <c r="C227" s="21"/>
      <c r="D227" s="1"/>
    </row>
    <row r="228" spans="1:5" ht="19.8">
      <c r="A228" s="2"/>
      <c r="B228" s="16" t="s">
        <v>168</v>
      </c>
      <c r="C228" s="21"/>
      <c r="D228" s="1"/>
    </row>
    <row r="229" spans="1:5" ht="19.8">
      <c r="A229" s="2"/>
      <c r="B229" s="16" t="s">
        <v>169</v>
      </c>
      <c r="C229" s="21"/>
      <c r="D229" s="1"/>
    </row>
    <row r="230" spans="1:5" ht="19.8">
      <c r="A230" s="2"/>
      <c r="B230" s="15" t="s">
        <v>170</v>
      </c>
      <c r="C230" s="21"/>
      <c r="D230" s="1"/>
    </row>
    <row r="231" spans="1:5" ht="21">
      <c r="A231" s="2"/>
      <c r="B231" s="16" t="s">
        <v>171</v>
      </c>
      <c r="C231" s="21"/>
      <c r="D231" s="1"/>
      <c r="E231" s="3"/>
    </row>
    <row r="232" spans="1:5" ht="19.8">
      <c r="A232" s="2"/>
      <c r="B232" s="16" t="s">
        <v>172</v>
      </c>
      <c r="C232" s="21"/>
      <c r="D232" s="1"/>
    </row>
    <row r="233" spans="1:5" ht="19.8">
      <c r="A233" s="2"/>
      <c r="B233" s="16" t="s">
        <v>173</v>
      </c>
      <c r="C233" s="21"/>
      <c r="D233" s="1"/>
    </row>
    <row r="234" spans="1:5" ht="19.8">
      <c r="A234" s="2"/>
      <c r="B234" s="16" t="s">
        <v>174</v>
      </c>
      <c r="C234" s="21"/>
      <c r="D234" s="1"/>
    </row>
    <row r="235" spans="1:5" ht="19.8">
      <c r="A235" s="2"/>
      <c r="B235" s="16" t="s">
        <v>175</v>
      </c>
      <c r="C235" s="21"/>
      <c r="D235" s="1"/>
    </row>
    <row r="236" spans="1:5" ht="19.8">
      <c r="A236" s="2"/>
      <c r="B236" s="16" t="s">
        <v>176</v>
      </c>
      <c r="C236" s="21"/>
      <c r="D236" s="1"/>
    </row>
    <row r="237" spans="1:5" ht="19.8">
      <c r="A237" s="2"/>
      <c r="B237" s="16" t="s">
        <v>177</v>
      </c>
      <c r="C237" s="21"/>
      <c r="D237" s="1"/>
    </row>
    <row r="238" spans="1:5" ht="19.8">
      <c r="A238" s="2"/>
      <c r="B238" s="16" t="s">
        <v>178</v>
      </c>
      <c r="C238" s="21"/>
      <c r="D238" s="1"/>
    </row>
    <row r="239" spans="1:5" ht="19.8">
      <c r="A239" s="2"/>
      <c r="B239" s="16" t="s">
        <v>179</v>
      </c>
      <c r="C239" s="21"/>
      <c r="D239" s="1"/>
    </row>
    <row r="240" spans="1:5" ht="19.8">
      <c r="A240" s="2"/>
      <c r="B240" s="16" t="s">
        <v>180</v>
      </c>
      <c r="C240" s="21"/>
      <c r="D240" s="1"/>
    </row>
    <row r="241" spans="1:4" ht="19.8">
      <c r="A241" s="2"/>
      <c r="B241" s="16" t="s">
        <v>181</v>
      </c>
      <c r="C241" s="21"/>
      <c r="D241" s="1"/>
    </row>
    <row r="242" spans="1:4" ht="19.8">
      <c r="A242" s="2"/>
      <c r="B242" s="16" t="s">
        <v>182</v>
      </c>
      <c r="C242" s="21"/>
      <c r="D242" s="1"/>
    </row>
    <row r="243" spans="1:4" ht="19.8">
      <c r="A243" s="2"/>
      <c r="B243" s="16" t="s">
        <v>183</v>
      </c>
      <c r="C243" s="21"/>
      <c r="D243" s="1"/>
    </row>
    <row r="244" spans="1:4" ht="19.8">
      <c r="A244" s="2"/>
      <c r="B244" s="16" t="s">
        <v>184</v>
      </c>
      <c r="C244" s="21"/>
      <c r="D244" s="1"/>
    </row>
    <row r="245" spans="1:4" ht="19.8">
      <c r="A245" s="2"/>
      <c r="B245" s="16" t="s">
        <v>185</v>
      </c>
      <c r="C245" s="21"/>
      <c r="D245" s="1"/>
    </row>
    <row r="246" spans="1:4" ht="19.8">
      <c r="A246" s="2"/>
      <c r="B246" s="16" t="s">
        <v>186</v>
      </c>
      <c r="C246" s="21"/>
      <c r="D246" s="1"/>
    </row>
    <row r="247" spans="1:4" ht="19.8">
      <c r="A247" s="2"/>
      <c r="B247" s="16" t="s">
        <v>187</v>
      </c>
      <c r="C247" s="21"/>
      <c r="D247" s="1"/>
    </row>
    <row r="248" spans="1:4" ht="19.8">
      <c r="A248" s="2"/>
      <c r="B248" s="16" t="s">
        <v>188</v>
      </c>
      <c r="C248" s="21"/>
      <c r="D248" s="1"/>
    </row>
    <row r="249" spans="1:4" ht="19.8">
      <c r="A249" s="2"/>
      <c r="B249" s="16" t="s">
        <v>189</v>
      </c>
      <c r="C249" s="21"/>
      <c r="D249" s="1"/>
    </row>
    <row r="250" spans="1:4" ht="19.8">
      <c r="A250" s="2"/>
      <c r="B250" s="16" t="s">
        <v>190</v>
      </c>
      <c r="C250" s="21"/>
      <c r="D250" s="1"/>
    </row>
    <row r="251" spans="1:4" ht="19.8">
      <c r="A251" s="2"/>
      <c r="B251" s="16" t="s">
        <v>191</v>
      </c>
      <c r="C251" s="21"/>
      <c r="D251" s="1"/>
    </row>
    <row r="252" spans="1:4" ht="19.8">
      <c r="A252" s="2"/>
      <c r="B252" s="16" t="s">
        <v>192</v>
      </c>
      <c r="C252" s="21"/>
      <c r="D252" s="1"/>
    </row>
    <row r="253" spans="1:4" ht="19.8">
      <c r="A253" s="2"/>
      <c r="B253" s="16" t="s">
        <v>193</v>
      </c>
      <c r="C253" s="21"/>
      <c r="D253" s="1"/>
    </row>
    <row r="254" spans="1:4" ht="19.8">
      <c r="A254" s="2"/>
      <c r="C254" s="21"/>
      <c r="D254" s="1"/>
    </row>
    <row r="255" spans="1:4" ht="19.8">
      <c r="A255" s="2"/>
      <c r="B255" s="29" t="s">
        <v>606</v>
      </c>
      <c r="D255" s="1"/>
    </row>
    <row r="256" spans="1:4" ht="19.8">
      <c r="A256" s="2"/>
      <c r="B256" s="16" t="s">
        <v>194</v>
      </c>
      <c r="D256" s="1"/>
    </row>
    <row r="257" spans="1:4" ht="19.8">
      <c r="A257" s="2"/>
      <c r="B257" s="16" t="s">
        <v>195</v>
      </c>
      <c r="C257" s="21"/>
      <c r="D257" s="1"/>
    </row>
    <row r="258" spans="1:4" ht="19.8">
      <c r="A258" s="2"/>
      <c r="B258" s="16" t="s">
        <v>196</v>
      </c>
      <c r="C258" s="21"/>
      <c r="D258" s="1"/>
    </row>
    <row r="259" spans="1:4" ht="19.8">
      <c r="A259" s="2"/>
      <c r="B259" s="16" t="s">
        <v>197</v>
      </c>
      <c r="C259" s="21"/>
      <c r="D259" s="1"/>
    </row>
    <row r="260" spans="1:4" ht="19.8">
      <c r="A260" s="2"/>
      <c r="B260" s="16" t="s">
        <v>198</v>
      </c>
      <c r="C260" s="21"/>
      <c r="D260" s="1"/>
    </row>
    <row r="261" spans="1:4" ht="19.8">
      <c r="A261" s="2"/>
      <c r="B261" s="16" t="s">
        <v>199</v>
      </c>
      <c r="C261" s="21"/>
      <c r="D261" s="1"/>
    </row>
    <row r="262" spans="1:4" ht="19.8">
      <c r="A262" s="2"/>
      <c r="B262" s="38" t="s">
        <v>200</v>
      </c>
      <c r="C262" s="21"/>
      <c r="D262" s="1"/>
    </row>
    <row r="263" spans="1:4" ht="19.8">
      <c r="A263" s="2"/>
      <c r="B263" s="16" t="s">
        <v>201</v>
      </c>
      <c r="C263" s="32"/>
      <c r="D263" s="1"/>
    </row>
    <row r="264" spans="1:4" ht="19.8">
      <c r="A264" s="2"/>
      <c r="B264" s="16" t="s">
        <v>202</v>
      </c>
      <c r="C264" s="21"/>
      <c r="D264" s="1"/>
    </row>
    <row r="265" spans="1:4" ht="19.8">
      <c r="A265" s="2"/>
      <c r="B265" s="16" t="s">
        <v>203</v>
      </c>
      <c r="C265" s="21"/>
      <c r="D265" s="1"/>
    </row>
    <row r="266" spans="1:4" ht="19.8">
      <c r="A266" s="2"/>
      <c r="B266" s="16" t="s">
        <v>204</v>
      </c>
      <c r="C266" s="21"/>
      <c r="D266" s="1"/>
    </row>
    <row r="267" spans="1:4" ht="19.8">
      <c r="A267" s="2"/>
      <c r="B267" s="16" t="s">
        <v>205</v>
      </c>
      <c r="C267" s="21"/>
      <c r="D267" s="1"/>
    </row>
    <row r="268" spans="1:4" ht="19.8">
      <c r="A268" s="2"/>
      <c r="B268" s="16" t="s">
        <v>206</v>
      </c>
      <c r="C268" s="21"/>
      <c r="D268" s="1"/>
    </row>
    <row r="269" spans="1:4" ht="19.8">
      <c r="A269" s="2"/>
      <c r="B269" s="16" t="s">
        <v>207</v>
      </c>
      <c r="C269" s="21"/>
      <c r="D269" s="1"/>
    </row>
    <row r="270" spans="1:4" ht="19.8">
      <c r="A270" s="2"/>
      <c r="B270" s="16" t="s">
        <v>208</v>
      </c>
      <c r="C270" s="21"/>
      <c r="D270" s="1"/>
    </row>
    <row r="271" spans="1:4" ht="19.8">
      <c r="A271" s="2"/>
      <c r="B271" s="16" t="s">
        <v>209</v>
      </c>
      <c r="C271" s="21"/>
      <c r="D271" s="1"/>
    </row>
    <row r="272" spans="1:4" ht="19.8">
      <c r="A272" s="2"/>
      <c r="B272" s="16" t="s">
        <v>210</v>
      </c>
      <c r="C272" s="21"/>
      <c r="D272" s="1"/>
    </row>
    <row r="273" spans="1:4" ht="19.8">
      <c r="A273" s="2"/>
      <c r="B273" s="16" t="s">
        <v>211</v>
      </c>
      <c r="C273" s="21"/>
      <c r="D273" s="1"/>
    </row>
    <row r="274" spans="1:4" ht="19.8">
      <c r="A274" s="2"/>
      <c r="B274" s="16" t="s">
        <v>212</v>
      </c>
      <c r="C274" s="21"/>
      <c r="D274" s="1"/>
    </row>
    <row r="275" spans="1:4" ht="19.8">
      <c r="A275" s="2"/>
      <c r="B275" s="16" t="s">
        <v>213</v>
      </c>
      <c r="C275" s="21"/>
      <c r="D275" s="1"/>
    </row>
    <row r="276" spans="1:4" ht="19.8">
      <c r="A276" s="2"/>
      <c r="B276" s="16" t="s">
        <v>214</v>
      </c>
      <c r="C276" s="21"/>
      <c r="D276" s="1"/>
    </row>
    <row r="277" spans="1:4" ht="19.8">
      <c r="A277" s="2"/>
      <c r="B277" s="16" t="s">
        <v>215</v>
      </c>
      <c r="C277" s="21"/>
      <c r="D277" s="1"/>
    </row>
    <row r="278" spans="1:4" ht="19.8">
      <c r="A278" s="2"/>
      <c r="C278" s="21"/>
      <c r="D278" s="1"/>
    </row>
    <row r="279" spans="1:4" ht="19.8">
      <c r="A279" s="2"/>
      <c r="C279" s="21"/>
      <c r="D279" s="1"/>
    </row>
    <row r="280" spans="1:4" ht="19.8">
      <c r="A280" s="2"/>
      <c r="B280" s="29" t="s">
        <v>607</v>
      </c>
      <c r="D280" s="1"/>
    </row>
    <row r="281" spans="1:4" ht="19.8">
      <c r="A281" s="2"/>
      <c r="B281" s="19" t="s">
        <v>534</v>
      </c>
      <c r="C281" s="29" t="s">
        <v>535</v>
      </c>
      <c r="D281" s="1"/>
    </row>
    <row r="282" spans="1:4" ht="19.8">
      <c r="A282" s="2"/>
      <c r="B282" s="19" t="s">
        <v>584</v>
      </c>
      <c r="D282" s="1"/>
    </row>
    <row r="283" spans="1:4" ht="19.8">
      <c r="A283" s="2"/>
      <c r="B283" s="16" t="s">
        <v>216</v>
      </c>
      <c r="D283" s="1"/>
    </row>
    <row r="284" spans="1:4" ht="19.8">
      <c r="A284" s="2"/>
      <c r="B284" s="16" t="s">
        <v>217</v>
      </c>
      <c r="C284" s="21"/>
      <c r="D284" s="1"/>
    </row>
    <row r="285" spans="1:4" ht="19.8">
      <c r="A285" s="2"/>
      <c r="B285" s="16" t="s">
        <v>218</v>
      </c>
      <c r="C285" s="21"/>
      <c r="D285" s="1"/>
    </row>
    <row r="286" spans="1:4" ht="19.8">
      <c r="A286" s="2"/>
      <c r="B286" s="16" t="s">
        <v>219</v>
      </c>
      <c r="C286" s="21"/>
      <c r="D286" s="1"/>
    </row>
    <row r="287" spans="1:4" ht="19.8">
      <c r="A287" s="2"/>
      <c r="B287" s="16" t="s">
        <v>220</v>
      </c>
      <c r="C287" s="21"/>
      <c r="D287" s="1"/>
    </row>
    <row r="288" spans="1:4" ht="19.8">
      <c r="A288" s="2"/>
      <c r="B288" s="16" t="s">
        <v>221</v>
      </c>
      <c r="C288" s="21"/>
      <c r="D288" s="1"/>
    </row>
    <row r="289" spans="1:4" ht="19.8">
      <c r="A289" s="2"/>
      <c r="B289" s="16" t="s">
        <v>222</v>
      </c>
      <c r="C289" s="21"/>
      <c r="D289" s="1"/>
    </row>
    <row r="290" spans="1:4" ht="19.8">
      <c r="A290" s="2"/>
      <c r="B290" s="16" t="s">
        <v>223</v>
      </c>
      <c r="C290" s="21"/>
      <c r="D290" s="1"/>
    </row>
    <row r="291" spans="1:4" ht="19.8">
      <c r="A291" s="2"/>
      <c r="B291" s="16" t="s">
        <v>224</v>
      </c>
      <c r="C291" s="21"/>
      <c r="D291" s="1"/>
    </row>
    <row r="292" spans="1:4" ht="19.8">
      <c r="A292" s="2"/>
      <c r="B292" s="16" t="s">
        <v>225</v>
      </c>
      <c r="C292" s="21"/>
      <c r="D292" s="1"/>
    </row>
    <row r="293" spans="1:4" ht="19.8">
      <c r="A293" s="2"/>
      <c r="B293" s="16" t="s">
        <v>226</v>
      </c>
      <c r="C293" s="21"/>
      <c r="D293" s="1"/>
    </row>
    <row r="294" spans="1:4" ht="19.8">
      <c r="A294" s="2"/>
      <c r="B294" s="16" t="s">
        <v>227</v>
      </c>
      <c r="C294" s="21"/>
      <c r="D294" s="1"/>
    </row>
    <row r="295" spans="1:4" ht="19.8">
      <c r="A295" s="2"/>
      <c r="B295" s="16" t="s">
        <v>228</v>
      </c>
      <c r="C295" s="21"/>
      <c r="D295" s="1"/>
    </row>
    <row r="296" spans="1:4" ht="19.8">
      <c r="A296" s="2"/>
      <c r="B296" s="16" t="s">
        <v>229</v>
      </c>
      <c r="C296" s="21"/>
      <c r="D296" s="1"/>
    </row>
    <row r="297" spans="1:4" ht="19.8">
      <c r="A297" s="2"/>
      <c r="B297" s="16" t="s">
        <v>230</v>
      </c>
      <c r="C297" s="21"/>
      <c r="D297" s="1"/>
    </row>
    <row r="298" spans="1:4" ht="19.8">
      <c r="A298" s="2"/>
      <c r="B298" s="16" t="s">
        <v>231</v>
      </c>
      <c r="C298" s="21"/>
      <c r="D298" s="1"/>
    </row>
    <row r="299" spans="1:4" ht="19.8">
      <c r="A299" s="2"/>
      <c r="B299" s="16" t="s">
        <v>232</v>
      </c>
      <c r="C299" s="21"/>
      <c r="D299" s="1"/>
    </row>
    <row r="300" spans="1:4" ht="19.8">
      <c r="A300" s="2"/>
      <c r="B300" s="16" t="s">
        <v>233</v>
      </c>
      <c r="C300" s="21"/>
      <c r="D300" s="1"/>
    </row>
    <row r="301" spans="1:4" ht="19.8">
      <c r="A301" s="2"/>
      <c r="B301" s="16" t="s">
        <v>234</v>
      </c>
      <c r="C301" s="21"/>
      <c r="D301" s="1"/>
    </row>
    <row r="302" spans="1:4" ht="19.8">
      <c r="A302" s="2"/>
      <c r="B302" s="16" t="s">
        <v>235</v>
      </c>
      <c r="C302" s="21"/>
      <c r="D302" s="1"/>
    </row>
    <row r="303" spans="1:4" ht="19.8">
      <c r="A303" s="2"/>
      <c r="B303" s="16" t="s">
        <v>236</v>
      </c>
      <c r="C303" s="21"/>
      <c r="D303" s="1"/>
    </row>
    <row r="304" spans="1:4" ht="19.8">
      <c r="A304" s="2"/>
      <c r="B304" s="16" t="s">
        <v>237</v>
      </c>
      <c r="C304" s="21"/>
      <c r="D304" s="1"/>
    </row>
    <row r="305" spans="1:4" ht="19.8">
      <c r="A305" s="2"/>
      <c r="B305" s="16" t="s">
        <v>238</v>
      </c>
      <c r="C305" s="21"/>
      <c r="D305" s="1"/>
    </row>
    <row r="306" spans="1:4" ht="19.8">
      <c r="A306" s="2"/>
      <c r="B306" s="16" t="s">
        <v>239</v>
      </c>
      <c r="C306" s="21"/>
      <c r="D306" s="1"/>
    </row>
    <row r="307" spans="1:4" ht="19.8">
      <c r="A307" s="2"/>
      <c r="B307" s="16" t="s">
        <v>240</v>
      </c>
      <c r="C307" s="21"/>
      <c r="D307" s="1"/>
    </row>
    <row r="308" spans="1:4" ht="19.8">
      <c r="A308" s="2"/>
      <c r="B308" s="16" t="s">
        <v>241</v>
      </c>
      <c r="C308" s="21"/>
      <c r="D308" s="1"/>
    </row>
    <row r="309" spans="1:4" ht="19.8">
      <c r="A309" s="2"/>
      <c r="B309" s="16" t="s">
        <v>242</v>
      </c>
      <c r="C309" s="21"/>
      <c r="D309" s="1"/>
    </row>
    <row r="310" spans="1:4" ht="19.8">
      <c r="A310" s="2"/>
      <c r="B310" s="16" t="s">
        <v>243</v>
      </c>
      <c r="C310" s="21"/>
      <c r="D310" s="1"/>
    </row>
    <row r="311" spans="1:4" ht="19.8">
      <c r="A311" s="2"/>
      <c r="B311" s="16" t="s">
        <v>244</v>
      </c>
      <c r="C311" s="21"/>
      <c r="D311" s="1"/>
    </row>
    <row r="312" spans="1:4" ht="19.8">
      <c r="A312" s="2"/>
      <c r="B312" s="16" t="s">
        <v>245</v>
      </c>
      <c r="C312" s="21"/>
      <c r="D312" s="1"/>
    </row>
    <row r="313" spans="1:4" ht="19.8">
      <c r="A313" s="2"/>
      <c r="B313" s="16" t="s">
        <v>246</v>
      </c>
      <c r="C313" s="21"/>
      <c r="D313" s="1"/>
    </row>
    <row r="314" spans="1:4" ht="19.8">
      <c r="A314" s="2"/>
      <c r="B314" s="16" t="s">
        <v>247</v>
      </c>
      <c r="C314" s="21"/>
      <c r="D314" s="1"/>
    </row>
    <row r="315" spans="1:4" ht="19.8">
      <c r="A315" s="2"/>
      <c r="B315" s="16" t="s">
        <v>248</v>
      </c>
      <c r="C315" s="21"/>
      <c r="D315" s="1"/>
    </row>
    <row r="316" spans="1:4" ht="19.8">
      <c r="A316" s="2"/>
      <c r="B316" s="16" t="s">
        <v>80</v>
      </c>
      <c r="C316" s="21"/>
      <c r="D316" s="1"/>
    </row>
    <row r="317" spans="1:4" ht="19.8">
      <c r="A317" s="2"/>
      <c r="B317" s="16" t="s">
        <v>249</v>
      </c>
      <c r="C317" s="21"/>
      <c r="D317" s="1"/>
    </row>
    <row r="318" spans="1:4" ht="19.8">
      <c r="A318" s="2"/>
      <c r="C318" s="21"/>
      <c r="D318" s="1"/>
    </row>
    <row r="319" spans="1:4" ht="19.8">
      <c r="A319" s="2"/>
      <c r="B319" s="29" t="s">
        <v>608</v>
      </c>
      <c r="D319" s="1"/>
    </row>
    <row r="320" spans="1:4">
      <c r="B320" s="15" t="s">
        <v>439</v>
      </c>
      <c r="C320" s="29" t="s">
        <v>448</v>
      </c>
      <c r="D320" s="1"/>
    </row>
    <row r="321" spans="1:4">
      <c r="B321" s="35" t="s">
        <v>440</v>
      </c>
      <c r="D321" s="1"/>
    </row>
    <row r="322" spans="1:4">
      <c r="B322" s="29" t="s">
        <v>441</v>
      </c>
      <c r="D322" s="1"/>
    </row>
    <row r="323" spans="1:4">
      <c r="D323" s="1"/>
    </row>
    <row r="324" spans="1:4">
      <c r="B324" s="15" t="s">
        <v>452</v>
      </c>
      <c r="C324" s="29" t="s">
        <v>448</v>
      </c>
      <c r="D324" s="1"/>
    </row>
    <row r="325" spans="1:4">
      <c r="B325" s="35" t="s">
        <v>443</v>
      </c>
      <c r="D325" s="1"/>
    </row>
    <row r="326" spans="1:4">
      <c r="B326" s="15" t="s">
        <v>444</v>
      </c>
      <c r="C326" s="29" t="s">
        <v>448</v>
      </c>
      <c r="D326" s="1"/>
    </row>
    <row r="327" spans="1:4">
      <c r="B327" s="18" t="s">
        <v>451</v>
      </c>
      <c r="D327" s="1"/>
    </row>
    <row r="328" spans="1:4">
      <c r="B328" s="22" t="s">
        <v>455</v>
      </c>
      <c r="D328" s="1"/>
    </row>
    <row r="329" spans="1:4">
      <c r="B329" s="15" t="s">
        <v>449</v>
      </c>
      <c r="D329" s="1"/>
    </row>
    <row r="330" spans="1:4">
      <c r="B330" s="16" t="s">
        <v>450</v>
      </c>
      <c r="D330" s="1"/>
    </row>
    <row r="331" spans="1:4">
      <c r="B331" s="16" t="s">
        <v>454</v>
      </c>
      <c r="D331" s="1"/>
    </row>
    <row r="332" spans="1:4">
      <c r="B332" s="22" t="s">
        <v>453</v>
      </c>
      <c r="C332" s="29" t="s">
        <v>592</v>
      </c>
      <c r="D332" s="1"/>
    </row>
    <row r="333" spans="1:4">
      <c r="B333" s="35" t="s">
        <v>445</v>
      </c>
      <c r="D333" s="1"/>
    </row>
    <row r="334" spans="1:4" ht="19.8">
      <c r="A334" s="2"/>
      <c r="B334" s="16" t="s">
        <v>250</v>
      </c>
      <c r="C334" s="21"/>
      <c r="D334" s="1"/>
    </row>
    <row r="335" spans="1:4" ht="19.8">
      <c r="A335" s="2"/>
      <c r="B335" s="16" t="s">
        <v>251</v>
      </c>
      <c r="C335" s="21"/>
      <c r="D335" s="1"/>
    </row>
    <row r="336" spans="1:4" ht="19.8">
      <c r="A336" s="2"/>
      <c r="B336" s="16" t="s">
        <v>252</v>
      </c>
      <c r="C336" s="21"/>
      <c r="D336" s="1"/>
    </row>
    <row r="337" spans="1:4" ht="19.8">
      <c r="A337" s="2"/>
      <c r="B337" s="16" t="s">
        <v>253</v>
      </c>
      <c r="C337" s="21"/>
      <c r="D337" s="1"/>
    </row>
    <row r="338" spans="1:4" ht="19.8">
      <c r="A338" s="2"/>
      <c r="B338" s="16" t="s">
        <v>254</v>
      </c>
      <c r="C338" s="21"/>
      <c r="D338" s="1"/>
    </row>
    <row r="339" spans="1:4" ht="19.8">
      <c r="A339" s="2"/>
      <c r="B339" s="16" t="s">
        <v>255</v>
      </c>
      <c r="C339" s="21"/>
      <c r="D339" s="1"/>
    </row>
    <row r="340" spans="1:4" ht="19.8">
      <c r="A340" s="2"/>
      <c r="B340" s="39" t="s">
        <v>609</v>
      </c>
      <c r="C340" s="21" t="s">
        <v>593</v>
      </c>
      <c r="D340" s="1"/>
    </row>
    <row r="341" spans="1:4" ht="36.6">
      <c r="A341" s="2"/>
      <c r="B341" s="22" t="s">
        <v>560</v>
      </c>
      <c r="C341" s="20" t="s">
        <v>561</v>
      </c>
      <c r="D341" s="1"/>
    </row>
    <row r="342" spans="1:4" ht="19.8">
      <c r="A342" s="2"/>
      <c r="B342" s="15" t="s">
        <v>446</v>
      </c>
      <c r="C342" s="21"/>
      <c r="D342" s="1"/>
    </row>
    <row r="343" spans="1:4" ht="19.8">
      <c r="A343" s="2"/>
      <c r="B343" s="16" t="s">
        <v>256</v>
      </c>
      <c r="C343" s="21"/>
      <c r="D343" s="1"/>
    </row>
    <row r="344" spans="1:4" ht="19.8">
      <c r="A344" s="2"/>
      <c r="B344" s="16" t="s">
        <v>257</v>
      </c>
      <c r="C344" s="21"/>
      <c r="D344" s="1"/>
    </row>
    <row r="345" spans="1:4" ht="19.8">
      <c r="A345" s="2"/>
      <c r="B345" s="16" t="s">
        <v>258</v>
      </c>
      <c r="C345" s="21"/>
      <c r="D345" s="1"/>
    </row>
    <row r="346" spans="1:4" ht="19.8">
      <c r="A346" s="2"/>
      <c r="B346" s="15" t="s">
        <v>438</v>
      </c>
      <c r="C346" s="21"/>
      <c r="D346" s="1"/>
    </row>
    <row r="347" spans="1:4" ht="19.8">
      <c r="A347" s="2"/>
      <c r="B347" s="16" t="s">
        <v>259</v>
      </c>
      <c r="C347" s="21"/>
      <c r="D347" s="1"/>
    </row>
    <row r="348" spans="1:4" ht="19.8">
      <c r="A348" s="2"/>
      <c r="B348" s="15" t="s">
        <v>442</v>
      </c>
      <c r="C348" s="21"/>
      <c r="D348" s="1"/>
    </row>
    <row r="349" spans="1:4" ht="19.8">
      <c r="A349" s="2"/>
      <c r="B349" s="16" t="s">
        <v>260</v>
      </c>
      <c r="C349" s="21"/>
      <c r="D349" s="1"/>
    </row>
    <row r="350" spans="1:4" ht="19.8">
      <c r="A350" s="2"/>
      <c r="B350" s="16" t="s">
        <v>261</v>
      </c>
      <c r="C350" s="21"/>
      <c r="D350" s="1"/>
    </row>
    <row r="351" spans="1:4" ht="19.8">
      <c r="A351" s="2"/>
      <c r="B351" s="16" t="s">
        <v>262</v>
      </c>
      <c r="C351" s="21"/>
      <c r="D351" s="1"/>
    </row>
    <row r="352" spans="1:4" ht="19.8">
      <c r="A352" s="2"/>
      <c r="B352" s="16" t="s">
        <v>263</v>
      </c>
      <c r="C352" s="21"/>
      <c r="D352" s="1"/>
    </row>
    <row r="353" spans="1:4" ht="19.8">
      <c r="A353" s="2"/>
      <c r="B353" s="16" t="s">
        <v>264</v>
      </c>
      <c r="C353" s="21"/>
      <c r="D353" s="1"/>
    </row>
    <row r="354" spans="1:4">
      <c r="D354" s="1"/>
    </row>
    <row r="355" spans="1:4">
      <c r="B355" s="29" t="s">
        <v>610</v>
      </c>
      <c r="D355" s="1"/>
    </row>
    <row r="356" spans="1:4" ht="19.8">
      <c r="A356" s="2"/>
      <c r="B356" s="16" t="s">
        <v>265</v>
      </c>
      <c r="C356" s="21"/>
      <c r="D356" s="1"/>
    </row>
    <row r="357" spans="1:4" ht="19.8">
      <c r="A357" s="2"/>
      <c r="B357" s="16" t="s">
        <v>266</v>
      </c>
      <c r="C357" s="21"/>
      <c r="D357" s="1"/>
    </row>
    <row r="358" spans="1:4" ht="19.8">
      <c r="A358" s="2"/>
      <c r="B358" s="16" t="s">
        <v>267</v>
      </c>
      <c r="C358" s="21"/>
      <c r="D358" s="1"/>
    </row>
    <row r="359" spans="1:4" ht="19.8">
      <c r="A359" s="2"/>
      <c r="B359" s="16" t="s">
        <v>268</v>
      </c>
      <c r="C359" s="21"/>
      <c r="D359" s="1"/>
    </row>
    <row r="360" spans="1:4" ht="19.8">
      <c r="A360" s="2"/>
      <c r="B360" s="16" t="s">
        <v>269</v>
      </c>
      <c r="C360" s="21"/>
      <c r="D360" s="1"/>
    </row>
    <row r="361" spans="1:4" ht="19.8">
      <c r="A361" s="2"/>
      <c r="B361" s="16" t="s">
        <v>270</v>
      </c>
      <c r="C361" s="21"/>
      <c r="D361" s="1"/>
    </row>
    <row r="362" spans="1:4" ht="19.8">
      <c r="A362" s="2"/>
      <c r="B362" s="16" t="s">
        <v>271</v>
      </c>
      <c r="C362" s="21"/>
      <c r="D362" s="1"/>
    </row>
    <row r="363" spans="1:4" ht="19.8">
      <c r="A363" s="2"/>
      <c r="B363" s="16" t="s">
        <v>272</v>
      </c>
      <c r="C363" s="21"/>
      <c r="D363" s="1"/>
    </row>
    <row r="364" spans="1:4" ht="19.8">
      <c r="A364" s="2"/>
      <c r="B364" s="16" t="s">
        <v>273</v>
      </c>
      <c r="C364" s="21"/>
      <c r="D364" s="1"/>
    </row>
    <row r="365" spans="1:4" ht="19.8">
      <c r="A365" s="2"/>
      <c r="B365" s="16" t="s">
        <v>274</v>
      </c>
      <c r="C365" s="21"/>
      <c r="D365" s="1"/>
    </row>
    <row r="366" spans="1:4" ht="19.8">
      <c r="A366" s="2"/>
      <c r="B366" s="16" t="s">
        <v>275</v>
      </c>
      <c r="C366" s="21"/>
      <c r="D366" s="1"/>
    </row>
    <row r="367" spans="1:4" ht="19.8">
      <c r="A367" s="2"/>
      <c r="B367" s="16" t="s">
        <v>276</v>
      </c>
      <c r="C367" s="21"/>
      <c r="D367" s="1"/>
    </row>
    <row r="368" spans="1:4" ht="19.8">
      <c r="A368" s="2"/>
      <c r="B368" s="16" t="s">
        <v>277</v>
      </c>
      <c r="C368" s="21"/>
      <c r="D368" s="1"/>
    </row>
    <row r="369" spans="1:4" ht="19.8">
      <c r="A369" s="2"/>
      <c r="B369" s="38" t="s">
        <v>278</v>
      </c>
      <c r="C369" s="32"/>
      <c r="D369" s="1"/>
    </row>
    <row r="370" spans="1:4" ht="19.8">
      <c r="A370" s="2"/>
      <c r="B370" s="16" t="s">
        <v>279</v>
      </c>
      <c r="C370" s="21"/>
      <c r="D370" s="1"/>
    </row>
    <row r="371" spans="1:4" ht="19.8">
      <c r="A371" s="2"/>
      <c r="B371" s="16" t="s">
        <v>280</v>
      </c>
      <c r="C371" s="21"/>
      <c r="D371" s="1"/>
    </row>
    <row r="372" spans="1:4" ht="19.8">
      <c r="A372" s="2"/>
      <c r="B372" s="16" t="s">
        <v>281</v>
      </c>
      <c r="C372" s="21"/>
      <c r="D372" s="1"/>
    </row>
    <row r="373" spans="1:4" ht="19.8">
      <c r="A373" s="2"/>
      <c r="B373" s="16" t="s">
        <v>282</v>
      </c>
      <c r="C373" s="21"/>
      <c r="D373" s="1"/>
    </row>
    <row r="374" spans="1:4" ht="19.8">
      <c r="A374" s="2"/>
      <c r="B374" s="16" t="s">
        <v>283</v>
      </c>
      <c r="C374" s="21"/>
      <c r="D374" s="1"/>
    </row>
    <row r="375" spans="1:4" ht="19.8">
      <c r="A375" s="2"/>
      <c r="B375" s="16" t="s">
        <v>284</v>
      </c>
      <c r="C375" s="21"/>
      <c r="D375" s="1"/>
    </row>
    <row r="376" spans="1:4" ht="19.8">
      <c r="A376" s="2"/>
      <c r="B376" s="16" t="s">
        <v>285</v>
      </c>
      <c r="C376" s="21"/>
      <c r="D376" s="1"/>
    </row>
    <row r="377" spans="1:4" ht="19.8">
      <c r="A377" s="2"/>
      <c r="B377" s="16" t="s">
        <v>286</v>
      </c>
      <c r="C377" s="21"/>
      <c r="D377" s="1"/>
    </row>
    <row r="378" spans="1:4" ht="19.8">
      <c r="A378" s="2"/>
      <c r="B378" s="16" t="s">
        <v>287</v>
      </c>
      <c r="C378" s="21"/>
      <c r="D378" s="1"/>
    </row>
    <row r="379" spans="1:4" ht="19.8">
      <c r="A379" s="2"/>
      <c r="B379" s="16" t="s">
        <v>288</v>
      </c>
      <c r="C379" s="21"/>
      <c r="D379" s="1"/>
    </row>
    <row r="380" spans="1:4" ht="19.8">
      <c r="A380" s="2"/>
      <c r="B380" s="16" t="s">
        <v>289</v>
      </c>
      <c r="C380" s="21"/>
      <c r="D380" s="1"/>
    </row>
    <row r="381" spans="1:4" ht="19.8">
      <c r="A381" s="2"/>
      <c r="B381" s="16" t="s">
        <v>290</v>
      </c>
      <c r="C381" s="21"/>
      <c r="D381" s="1"/>
    </row>
    <row r="382" spans="1:4" ht="19.8">
      <c r="A382" s="2"/>
      <c r="B382" s="16" t="s">
        <v>291</v>
      </c>
      <c r="C382" s="21"/>
      <c r="D382" s="1"/>
    </row>
    <row r="383" spans="1:4" ht="19.8">
      <c r="A383" s="2"/>
      <c r="B383" s="16" t="s">
        <v>292</v>
      </c>
      <c r="C383" s="21"/>
      <c r="D383" s="1"/>
    </row>
    <row r="384" spans="1:4" ht="19.8">
      <c r="A384" s="2"/>
      <c r="B384" s="16" t="s">
        <v>293</v>
      </c>
      <c r="C384" s="21"/>
      <c r="D384" s="1"/>
    </row>
    <row r="385" spans="1:4" ht="19.8">
      <c r="A385" s="2"/>
      <c r="B385" s="16" t="s">
        <v>294</v>
      </c>
      <c r="C385" s="21"/>
      <c r="D385" s="1"/>
    </row>
    <row r="386" spans="1:4" ht="19.8">
      <c r="A386" s="2"/>
      <c r="B386" s="16" t="s">
        <v>295</v>
      </c>
      <c r="C386" s="21"/>
      <c r="D386" s="1"/>
    </row>
    <row r="387" spans="1:4" ht="19.8">
      <c r="A387" s="2"/>
      <c r="B387" s="16" t="s">
        <v>296</v>
      </c>
      <c r="C387" s="21"/>
      <c r="D387" s="1"/>
    </row>
    <row r="388" spans="1:4" ht="19.8">
      <c r="A388" s="2"/>
      <c r="B388" s="16" t="s">
        <v>297</v>
      </c>
      <c r="C388" s="21"/>
      <c r="D388" s="1"/>
    </row>
    <row r="389" spans="1:4" ht="19.8">
      <c r="A389" s="2"/>
      <c r="B389" s="16" t="s">
        <v>298</v>
      </c>
      <c r="C389" s="21"/>
      <c r="D389" s="1"/>
    </row>
    <row r="390" spans="1:4" ht="19.8">
      <c r="A390" s="2"/>
      <c r="B390" s="16" t="s">
        <v>299</v>
      </c>
      <c r="C390" s="21"/>
      <c r="D390" s="1"/>
    </row>
    <row r="391" spans="1:4" ht="19.8">
      <c r="A391" s="2"/>
      <c r="B391" s="16" t="s">
        <v>300</v>
      </c>
      <c r="C391" s="21"/>
      <c r="D391" s="1"/>
    </row>
    <row r="392" spans="1:4" ht="19.8">
      <c r="A392" s="2"/>
      <c r="B392" s="16" t="s">
        <v>301</v>
      </c>
      <c r="C392" s="21"/>
      <c r="D392" s="1"/>
    </row>
    <row r="393" spans="1:4" ht="19.8">
      <c r="A393" s="2"/>
      <c r="B393" s="16" t="s">
        <v>302</v>
      </c>
      <c r="C393" s="21"/>
      <c r="D393" s="1"/>
    </row>
    <row r="394" spans="1:4" ht="19.8">
      <c r="A394" s="2"/>
      <c r="B394" s="15" t="s">
        <v>582</v>
      </c>
      <c r="C394" s="21"/>
      <c r="D394" s="1"/>
    </row>
    <row r="395" spans="1:4" ht="19.8">
      <c r="A395" s="2"/>
      <c r="B395" s="40" t="s">
        <v>571</v>
      </c>
      <c r="C395" s="21" t="s">
        <v>572</v>
      </c>
      <c r="D395" s="1"/>
    </row>
    <row r="396" spans="1:4" ht="19.8">
      <c r="A396" s="2"/>
      <c r="B396" s="40" t="s">
        <v>573</v>
      </c>
      <c r="C396" s="21"/>
      <c r="D396" s="1"/>
    </row>
    <row r="397" spans="1:4" ht="19.8">
      <c r="A397" s="2"/>
      <c r="B397" s="40" t="s">
        <v>574</v>
      </c>
      <c r="C397" s="21"/>
      <c r="D397" s="1"/>
    </row>
    <row r="398" spans="1:4" ht="19.8">
      <c r="A398" s="13" t="s">
        <v>474</v>
      </c>
      <c r="B398" s="41" t="s">
        <v>575</v>
      </c>
      <c r="C398" s="21"/>
      <c r="D398" s="1"/>
    </row>
    <row r="399" spans="1:4" ht="19.8">
      <c r="A399" s="2"/>
      <c r="B399" s="26" t="s">
        <v>576</v>
      </c>
      <c r="C399" s="21"/>
      <c r="D399" s="1"/>
    </row>
    <row r="400" spans="1:4" ht="19.8">
      <c r="A400" s="13" t="s">
        <v>474</v>
      </c>
      <c r="B400" s="41" t="s">
        <v>577</v>
      </c>
      <c r="C400" s="21"/>
      <c r="D400" s="1"/>
    </row>
    <row r="401" spans="1:4" ht="19.8">
      <c r="A401" s="2"/>
      <c r="B401" s="42" t="s">
        <v>578</v>
      </c>
      <c r="C401" s="21" t="s">
        <v>579</v>
      </c>
      <c r="D401" s="1"/>
    </row>
    <row r="402" spans="1:4">
      <c r="D402" s="1"/>
    </row>
    <row r="403" spans="1:4">
      <c r="B403" s="29" t="s">
        <v>611</v>
      </c>
      <c r="D403" s="1"/>
    </row>
    <row r="404" spans="1:4">
      <c r="B404" s="22" t="s">
        <v>467</v>
      </c>
      <c r="C404" s="29" t="s">
        <v>468</v>
      </c>
      <c r="D404" s="1"/>
    </row>
    <row r="405" spans="1:4">
      <c r="D405" s="1"/>
    </row>
    <row r="406" spans="1:4">
      <c r="D406" s="1"/>
    </row>
    <row r="407" spans="1:4">
      <c r="D407" s="1"/>
    </row>
    <row r="408" spans="1:4" ht="19.8">
      <c r="A408" s="4"/>
      <c r="B408" s="16" t="s">
        <v>303</v>
      </c>
      <c r="C408" s="21"/>
      <c r="D408" s="1"/>
    </row>
    <row r="409" spans="1:4" ht="19.8">
      <c r="A409" s="4"/>
      <c r="B409" s="16" t="s">
        <v>304</v>
      </c>
      <c r="C409" s="21"/>
      <c r="D409" s="1"/>
    </row>
    <row r="410" spans="1:4" ht="19.8">
      <c r="A410" s="4"/>
      <c r="B410" s="16" t="s">
        <v>305</v>
      </c>
      <c r="C410" s="21"/>
      <c r="D410" s="1"/>
    </row>
    <row r="411" spans="1:4" ht="19.8">
      <c r="A411" s="4"/>
      <c r="B411" s="15" t="s">
        <v>469</v>
      </c>
      <c r="C411" s="21"/>
      <c r="D411" s="1"/>
    </row>
    <row r="412" spans="1:4" ht="19.8">
      <c r="A412" s="4"/>
      <c r="B412" s="16" t="s">
        <v>306</v>
      </c>
      <c r="C412" s="21"/>
      <c r="D412" s="1"/>
    </row>
    <row r="413" spans="1:4" ht="19.8">
      <c r="A413" s="4"/>
      <c r="B413" s="16" t="s">
        <v>307</v>
      </c>
      <c r="C413" s="21"/>
      <c r="D413" s="1"/>
    </row>
    <row r="414" spans="1:4" ht="19.8">
      <c r="A414" s="4"/>
      <c r="B414" s="16" t="s">
        <v>308</v>
      </c>
      <c r="C414" s="21"/>
      <c r="D414" s="1"/>
    </row>
    <row r="415" spans="1:4" ht="19.8">
      <c r="A415" s="4"/>
      <c r="B415" s="16" t="s">
        <v>309</v>
      </c>
      <c r="C415" s="21"/>
      <c r="D415" s="1"/>
    </row>
    <row r="416" spans="1:4" ht="19.8">
      <c r="A416" s="4"/>
      <c r="B416" s="38" t="s">
        <v>310</v>
      </c>
      <c r="C416" s="32"/>
      <c r="D416" s="1"/>
    </row>
    <row r="417" spans="1:4" ht="19.8">
      <c r="A417" s="4"/>
      <c r="B417" s="16" t="s">
        <v>311</v>
      </c>
      <c r="C417" s="21"/>
      <c r="D417" s="1"/>
    </row>
    <row r="418" spans="1:4" ht="19.8">
      <c r="A418" s="4"/>
      <c r="B418" s="16" t="s">
        <v>312</v>
      </c>
      <c r="C418" s="21"/>
      <c r="D418" s="1"/>
    </row>
    <row r="419" spans="1:4" ht="19.8">
      <c r="A419" s="4"/>
      <c r="B419" s="16" t="s">
        <v>313</v>
      </c>
      <c r="C419" s="21"/>
      <c r="D419" s="1"/>
    </row>
    <row r="420" spans="1:4" ht="19.8">
      <c r="A420" s="4"/>
      <c r="B420" s="16" t="s">
        <v>314</v>
      </c>
      <c r="C420" s="21"/>
      <c r="D420" s="1"/>
    </row>
    <row r="421" spans="1:4" ht="19.8">
      <c r="A421" s="4"/>
      <c r="B421" s="16" t="s">
        <v>315</v>
      </c>
      <c r="C421" s="21"/>
      <c r="D421" s="1"/>
    </row>
    <row r="422" spans="1:4" ht="19.8">
      <c r="A422" s="4"/>
      <c r="B422" s="16" t="s">
        <v>316</v>
      </c>
      <c r="C422" s="21"/>
      <c r="D422" s="1"/>
    </row>
    <row r="423" spans="1:4" ht="19.8">
      <c r="A423" s="4"/>
      <c r="B423" s="16" t="s">
        <v>317</v>
      </c>
      <c r="C423" s="21"/>
      <c r="D423" s="1"/>
    </row>
    <row r="424" spans="1:4" ht="19.8">
      <c r="A424" s="4"/>
      <c r="B424" s="16" t="s">
        <v>318</v>
      </c>
      <c r="C424" s="21"/>
      <c r="D424" s="1"/>
    </row>
    <row r="425" spans="1:4" ht="19.8">
      <c r="A425" s="4"/>
      <c r="B425" s="16" t="s">
        <v>319</v>
      </c>
      <c r="C425" s="21"/>
      <c r="D425" s="1"/>
    </row>
    <row r="426" spans="1:4" ht="19.8">
      <c r="A426" s="4"/>
      <c r="B426" s="16"/>
      <c r="C426" s="21"/>
      <c r="D426" s="1"/>
    </row>
    <row r="427" spans="1:4">
      <c r="D427" s="1"/>
    </row>
    <row r="428" spans="1:4">
      <c r="B428" s="29" t="s">
        <v>612</v>
      </c>
      <c r="D428" s="1"/>
    </row>
    <row r="429" spans="1:4" ht="19.8">
      <c r="A429" s="4"/>
      <c r="B429" s="15" t="s">
        <v>320</v>
      </c>
      <c r="C429" s="21"/>
      <c r="D429" s="1"/>
    </row>
    <row r="430" spans="1:4" ht="19.8">
      <c r="A430" s="4"/>
      <c r="B430" s="15" t="s">
        <v>321</v>
      </c>
      <c r="C430" s="21"/>
      <c r="D430" s="1"/>
    </row>
    <row r="431" spans="1:4" ht="19.8">
      <c r="A431" s="4"/>
      <c r="B431" s="15" t="s">
        <v>322</v>
      </c>
      <c r="C431" s="21"/>
      <c r="D431" s="1"/>
    </row>
    <row r="432" spans="1:4" ht="19.8">
      <c r="A432" s="4"/>
      <c r="B432" s="16" t="s">
        <v>323</v>
      </c>
      <c r="C432" s="21"/>
      <c r="D432" s="1"/>
    </row>
    <row r="433" spans="1:4" ht="19.8">
      <c r="A433" s="4"/>
      <c r="B433" s="16" t="s">
        <v>324</v>
      </c>
      <c r="C433" s="21"/>
      <c r="D433" s="1"/>
    </row>
    <row r="434" spans="1:4" ht="19.8">
      <c r="A434" s="4"/>
      <c r="B434" s="16" t="s">
        <v>325</v>
      </c>
      <c r="C434" s="21"/>
      <c r="D434" s="1"/>
    </row>
    <row r="435" spans="1:4" ht="19.8">
      <c r="A435" s="4"/>
      <c r="B435" s="16" t="s">
        <v>326</v>
      </c>
      <c r="C435" s="21"/>
      <c r="D435" s="1"/>
    </row>
    <row r="436" spans="1:4" ht="19.8">
      <c r="A436" s="4"/>
      <c r="B436" s="16" t="s">
        <v>327</v>
      </c>
      <c r="C436" s="21"/>
      <c r="D436" s="1"/>
    </row>
    <row r="437" spans="1:4" ht="36.6">
      <c r="A437" s="4"/>
      <c r="B437" s="19" t="s">
        <v>328</v>
      </c>
      <c r="C437" s="20" t="s">
        <v>585</v>
      </c>
      <c r="D437" s="1"/>
    </row>
    <row r="438" spans="1:4" ht="19.8">
      <c r="A438" s="4"/>
      <c r="B438" s="16" t="s">
        <v>329</v>
      </c>
      <c r="C438" s="21"/>
      <c r="D438" s="1"/>
    </row>
    <row r="439" spans="1:4" ht="19.8">
      <c r="A439" s="4"/>
      <c r="B439" s="16" t="s">
        <v>330</v>
      </c>
      <c r="C439" s="21"/>
      <c r="D439" s="1"/>
    </row>
    <row r="440" spans="1:4" ht="19.8">
      <c r="A440" s="4"/>
      <c r="B440" s="16" t="s">
        <v>331</v>
      </c>
      <c r="C440" s="21"/>
      <c r="D440" s="1"/>
    </row>
    <row r="441" spans="1:4" ht="19.8">
      <c r="A441" s="4"/>
      <c r="B441" s="16" t="s">
        <v>332</v>
      </c>
      <c r="C441" s="21"/>
      <c r="D441" s="1"/>
    </row>
    <row r="442" spans="1:4" ht="19.8">
      <c r="A442" s="4"/>
      <c r="B442" s="16" t="s">
        <v>333</v>
      </c>
      <c r="C442" s="21"/>
      <c r="D442" s="1"/>
    </row>
    <row r="443" spans="1:4" ht="19.8">
      <c r="A443" s="4"/>
      <c r="B443" s="16" t="s">
        <v>334</v>
      </c>
      <c r="C443" s="21"/>
      <c r="D443" s="1"/>
    </row>
    <row r="444" spans="1:4" ht="19.8">
      <c r="A444" s="4"/>
      <c r="B444" s="16" t="s">
        <v>335</v>
      </c>
      <c r="C444" s="21"/>
      <c r="D444" s="1"/>
    </row>
    <row r="445" spans="1:4" ht="19.8">
      <c r="A445" s="4"/>
      <c r="B445" s="16" t="s">
        <v>336</v>
      </c>
      <c r="C445" s="21"/>
      <c r="D445" s="1"/>
    </row>
    <row r="446" spans="1:4" ht="19.8">
      <c r="A446" s="4"/>
      <c r="B446" s="16" t="s">
        <v>337</v>
      </c>
      <c r="C446" s="21"/>
      <c r="D446" s="1"/>
    </row>
    <row r="447" spans="1:4" ht="19.8">
      <c r="A447" s="4"/>
      <c r="B447" s="16" t="s">
        <v>338</v>
      </c>
      <c r="C447" s="21"/>
      <c r="D447" s="1"/>
    </row>
    <row r="448" spans="1:4" ht="19.8">
      <c r="A448" s="4"/>
      <c r="B448" s="16" t="s">
        <v>339</v>
      </c>
      <c r="C448" s="21"/>
      <c r="D448" s="1"/>
    </row>
    <row r="449" spans="1:4" ht="19.8">
      <c r="A449" s="4"/>
      <c r="B449" s="16" t="s">
        <v>340</v>
      </c>
      <c r="C449" s="21"/>
      <c r="D449" s="1"/>
    </row>
    <row r="450" spans="1:4" ht="19.8">
      <c r="A450" s="4"/>
      <c r="B450" s="16" t="s">
        <v>341</v>
      </c>
      <c r="C450" s="21"/>
      <c r="D450" s="1"/>
    </row>
    <row r="451" spans="1:4" ht="19.8">
      <c r="A451" s="4"/>
      <c r="B451" s="16" t="s">
        <v>342</v>
      </c>
      <c r="C451" s="21"/>
      <c r="D451" s="1"/>
    </row>
    <row r="452" spans="1:4" ht="19.8">
      <c r="A452" s="4"/>
      <c r="B452" s="16" t="s">
        <v>343</v>
      </c>
      <c r="C452" s="21"/>
      <c r="D452" s="1"/>
    </row>
    <row r="453" spans="1:4" ht="19.8">
      <c r="A453" s="4"/>
      <c r="B453" s="16" t="s">
        <v>344</v>
      </c>
      <c r="C453" s="21"/>
      <c r="D453" s="1"/>
    </row>
    <row r="454" spans="1:4" ht="19.8">
      <c r="A454" s="4"/>
      <c r="B454" s="16" t="s">
        <v>345</v>
      </c>
      <c r="C454" s="21"/>
      <c r="D454" s="1"/>
    </row>
    <row r="455" spans="1:4" ht="19.8">
      <c r="A455" s="4"/>
      <c r="B455" s="16" t="s">
        <v>346</v>
      </c>
      <c r="C455" s="21"/>
      <c r="D455" s="1"/>
    </row>
    <row r="456" spans="1:4" ht="19.8">
      <c r="A456" s="4"/>
      <c r="B456" s="16" t="s">
        <v>347</v>
      </c>
      <c r="C456" s="21"/>
      <c r="D456" s="1"/>
    </row>
    <row r="457" spans="1:4" ht="19.8">
      <c r="A457" s="4"/>
      <c r="B457" s="16" t="s">
        <v>348</v>
      </c>
      <c r="C457" s="21"/>
      <c r="D457" s="1"/>
    </row>
    <row r="458" spans="1:4" ht="19.8">
      <c r="A458" s="4"/>
      <c r="B458" s="16" t="s">
        <v>349</v>
      </c>
      <c r="C458" s="21"/>
      <c r="D458" s="1"/>
    </row>
    <row r="459" spans="1:4" ht="19.8">
      <c r="A459" s="4"/>
      <c r="B459" s="15" t="s">
        <v>350</v>
      </c>
      <c r="C459" s="21"/>
      <c r="D459" s="1"/>
    </row>
    <row r="460" spans="1:4" ht="19.8">
      <c r="A460" s="4"/>
      <c r="B460" s="16" t="s">
        <v>351</v>
      </c>
      <c r="C460" s="21"/>
      <c r="D460" s="1"/>
    </row>
    <row r="461" spans="1:4" ht="19.8">
      <c r="A461" s="4"/>
      <c r="B461" s="16" t="s">
        <v>352</v>
      </c>
      <c r="C461" s="21"/>
      <c r="D461" s="1"/>
    </row>
    <row r="462" spans="1:4" ht="19.8">
      <c r="A462" s="4"/>
      <c r="B462" s="16" t="s">
        <v>353</v>
      </c>
      <c r="C462" s="21"/>
      <c r="D462" s="1"/>
    </row>
    <row r="463" spans="1:4" ht="19.8">
      <c r="A463" s="4"/>
      <c r="B463" s="16" t="s">
        <v>353</v>
      </c>
      <c r="C463" s="21"/>
      <c r="D463" s="1"/>
    </row>
    <row r="464" spans="1:4" ht="19.8">
      <c r="A464" s="4"/>
      <c r="B464" s="16" t="s">
        <v>354</v>
      </c>
      <c r="C464" s="21"/>
      <c r="D464" s="1"/>
    </row>
    <row r="465" spans="1:4" ht="19.8">
      <c r="A465" s="4"/>
      <c r="B465" s="16" t="s">
        <v>355</v>
      </c>
      <c r="C465" s="21"/>
      <c r="D465" s="1"/>
    </row>
    <row r="466" spans="1:4" ht="19.8">
      <c r="A466" s="4"/>
      <c r="B466" s="16" t="s">
        <v>356</v>
      </c>
      <c r="C466" s="21"/>
      <c r="D466" s="1"/>
    </row>
    <row r="467" spans="1:4" ht="19.8">
      <c r="A467" s="4"/>
      <c r="B467" s="16" t="s">
        <v>357</v>
      </c>
      <c r="C467" s="21"/>
      <c r="D467" s="1"/>
    </row>
    <row r="468" spans="1:4" ht="19.8">
      <c r="A468" s="4"/>
      <c r="B468" s="16" t="s">
        <v>358</v>
      </c>
      <c r="C468" s="21"/>
      <c r="D468" s="1"/>
    </row>
    <row r="469" spans="1:4" ht="19.8">
      <c r="A469" s="4"/>
      <c r="B469" s="16" t="s">
        <v>359</v>
      </c>
      <c r="C469" s="21"/>
      <c r="D469" s="1"/>
    </row>
    <row r="470" spans="1:4" ht="19.8">
      <c r="A470" s="4"/>
      <c r="B470" s="16" t="s">
        <v>360</v>
      </c>
      <c r="C470" s="21"/>
      <c r="D470" s="1"/>
    </row>
    <row r="471" spans="1:4" ht="19.8">
      <c r="A471" s="4"/>
      <c r="B471" s="16" t="s">
        <v>361</v>
      </c>
      <c r="C471" s="21"/>
      <c r="D471" s="1"/>
    </row>
    <row r="472" spans="1:4" ht="19.8">
      <c r="A472" s="4"/>
      <c r="B472" s="16" t="s">
        <v>362</v>
      </c>
      <c r="C472" s="21"/>
      <c r="D472" s="1"/>
    </row>
    <row r="473" spans="1:4" ht="19.8">
      <c r="A473" s="4"/>
      <c r="B473" s="16"/>
      <c r="C473" s="21"/>
      <c r="D473" s="1"/>
    </row>
    <row r="474" spans="1:4" ht="19.8">
      <c r="A474" s="4"/>
      <c r="B474" s="21"/>
      <c r="C474" s="21"/>
      <c r="D474" s="1"/>
    </row>
    <row r="475" spans="1:4" ht="19.8">
      <c r="A475" s="4"/>
      <c r="B475" s="24"/>
      <c r="C475" s="21"/>
      <c r="D475" s="1"/>
    </row>
    <row r="476" spans="1:4" ht="19.8">
      <c r="A476" s="4"/>
      <c r="B476" s="21"/>
      <c r="C476" s="21"/>
      <c r="D476" s="1"/>
    </row>
    <row r="477" spans="1:4" ht="19.8">
      <c r="A477" s="4"/>
      <c r="B477" s="21"/>
      <c r="C477" s="21"/>
      <c r="D477" s="1"/>
    </row>
    <row r="478" spans="1:4" ht="19.8">
      <c r="A478" s="4"/>
      <c r="B478" s="21"/>
      <c r="C478" s="21"/>
      <c r="D478" s="1"/>
    </row>
    <row r="479" spans="1:4">
      <c r="D479" s="1"/>
    </row>
    <row r="480" spans="1:4">
      <c r="B480" s="29" t="s">
        <v>613</v>
      </c>
      <c r="D480" s="1"/>
    </row>
    <row r="481" spans="1:4">
      <c r="B481" s="16" t="s">
        <v>537</v>
      </c>
      <c r="D481" s="1"/>
    </row>
    <row r="482" spans="1:4" ht="19.8">
      <c r="A482" s="4"/>
      <c r="B482" s="19" t="s">
        <v>580</v>
      </c>
      <c r="C482" s="21"/>
      <c r="D482" s="1"/>
    </row>
    <row r="483" spans="1:4" ht="19.8">
      <c r="A483" s="4"/>
      <c r="B483" s="16" t="s">
        <v>363</v>
      </c>
      <c r="C483" s="21"/>
      <c r="D483" s="1"/>
    </row>
    <row r="484" spans="1:4" ht="19.8">
      <c r="A484" s="4"/>
      <c r="B484" s="16" t="s">
        <v>364</v>
      </c>
      <c r="C484" s="21"/>
      <c r="D484" s="1"/>
    </row>
    <row r="485" spans="1:4" ht="19.8">
      <c r="A485" s="4"/>
      <c r="B485" s="16" t="s">
        <v>82</v>
      </c>
      <c r="C485" s="21"/>
      <c r="D485" s="1"/>
    </row>
    <row r="486" spans="1:4" ht="19.8">
      <c r="A486" s="4"/>
      <c r="B486" s="16" t="s">
        <v>365</v>
      </c>
      <c r="C486" s="21"/>
      <c r="D486" s="1"/>
    </row>
    <row r="487" spans="1:4" ht="19.8">
      <c r="A487" s="4"/>
      <c r="B487" s="16" t="s">
        <v>366</v>
      </c>
      <c r="C487" s="21"/>
      <c r="D487" s="1"/>
    </row>
    <row r="488" spans="1:4">
      <c r="D488" s="1"/>
    </row>
    <row r="489" spans="1:4" ht="21">
      <c r="B489" s="29" t="s">
        <v>614</v>
      </c>
      <c r="D489" s="1"/>
    </row>
    <row r="490" spans="1:4">
      <c r="A490" s="11" t="s">
        <v>474</v>
      </c>
      <c r="B490" s="15" t="s">
        <v>456</v>
      </c>
      <c r="C490" s="29" t="s">
        <v>594</v>
      </c>
      <c r="D490" s="1"/>
    </row>
    <row r="491" spans="1:4">
      <c r="B491" s="16" t="s">
        <v>457</v>
      </c>
      <c r="C491" s="29" t="s">
        <v>458</v>
      </c>
      <c r="D491" s="1"/>
    </row>
    <row r="492" spans="1:4">
      <c r="A492" s="12" t="s">
        <v>474</v>
      </c>
      <c r="B492" s="15" t="s">
        <v>615</v>
      </c>
      <c r="D492" s="1"/>
    </row>
    <row r="493" spans="1:4">
      <c r="B493" s="15" t="s">
        <v>459</v>
      </c>
      <c r="D493" s="1"/>
    </row>
    <row r="494" spans="1:4">
      <c r="B494" s="15" t="s">
        <v>460</v>
      </c>
      <c r="C494" s="29" t="s">
        <v>461</v>
      </c>
      <c r="D494" s="1"/>
    </row>
    <row r="495" spans="1:4">
      <c r="B495" s="15" t="s">
        <v>475</v>
      </c>
      <c r="D495" s="1"/>
    </row>
    <row r="496" spans="1:4">
      <c r="B496" s="15" t="s">
        <v>476</v>
      </c>
      <c r="C496" s="29" t="s">
        <v>594</v>
      </c>
      <c r="D496" s="1"/>
    </row>
    <row r="497" spans="1:4">
      <c r="B497" s="15" t="s">
        <v>477</v>
      </c>
      <c r="D497" s="1"/>
    </row>
    <row r="498" spans="1:4">
      <c r="B498" s="15" t="s">
        <v>479</v>
      </c>
      <c r="C498" s="29" t="s">
        <v>480</v>
      </c>
      <c r="D498" s="1"/>
    </row>
    <row r="499" spans="1:4">
      <c r="D499" s="1"/>
    </row>
    <row r="500" spans="1:4">
      <c r="D500" s="1"/>
    </row>
    <row r="501" spans="1:4">
      <c r="D501" s="1"/>
    </row>
    <row r="502" spans="1:4">
      <c r="D502" s="1"/>
    </row>
    <row r="503" spans="1:4" ht="19.8">
      <c r="A503" s="2"/>
      <c r="B503" s="15" t="s">
        <v>367</v>
      </c>
      <c r="C503" s="21"/>
      <c r="D503" s="1"/>
    </row>
    <row r="504" spans="1:4" ht="19.8">
      <c r="A504" s="2"/>
      <c r="B504" s="15" t="s">
        <v>368</v>
      </c>
      <c r="C504" s="21"/>
      <c r="D504" s="1"/>
    </row>
    <row r="505" spans="1:4" ht="19.8">
      <c r="A505" s="2"/>
      <c r="B505" s="16" t="s">
        <v>369</v>
      </c>
      <c r="C505" s="21"/>
      <c r="D505" s="1"/>
    </row>
    <row r="506" spans="1:4" ht="19.8">
      <c r="A506" s="2"/>
      <c r="B506" s="16" t="s">
        <v>370</v>
      </c>
      <c r="C506" s="21"/>
      <c r="D506" s="1"/>
    </row>
    <row r="507" spans="1:4" ht="19.8">
      <c r="A507" s="2"/>
      <c r="B507" s="16" t="s">
        <v>371</v>
      </c>
      <c r="C507" s="21"/>
      <c r="D507" s="1"/>
    </row>
    <row r="508" spans="1:4" ht="19.8">
      <c r="A508" s="2"/>
      <c r="B508" s="16" t="s">
        <v>372</v>
      </c>
      <c r="C508" s="21"/>
      <c r="D508" s="1"/>
    </row>
    <row r="509" spans="1:4" ht="19.8">
      <c r="A509" s="2"/>
      <c r="B509" s="16" t="s">
        <v>373</v>
      </c>
      <c r="C509" s="21"/>
      <c r="D509" s="1"/>
    </row>
    <row r="510" spans="1:4" ht="19.8">
      <c r="A510" s="2"/>
      <c r="B510" s="15" t="s">
        <v>533</v>
      </c>
      <c r="C510" s="21"/>
      <c r="D510" s="1"/>
    </row>
    <row r="511" spans="1:4" ht="19.8">
      <c r="A511" s="2"/>
      <c r="B511" s="15" t="s">
        <v>446</v>
      </c>
      <c r="C511" s="21"/>
      <c r="D511" s="1"/>
    </row>
    <row r="512" spans="1:4" ht="19.8">
      <c r="A512" s="2"/>
      <c r="B512" s="15" t="s">
        <v>481</v>
      </c>
      <c r="C512" s="21"/>
      <c r="D512" s="1"/>
    </row>
    <row r="513" spans="1:4" ht="19.8">
      <c r="A513" s="2"/>
      <c r="B513" s="15" t="s">
        <v>482</v>
      </c>
      <c r="C513" s="21"/>
      <c r="D513" s="1"/>
    </row>
    <row r="514" spans="1:4" ht="32.4">
      <c r="A514" s="2"/>
      <c r="B514" s="15" t="s">
        <v>483</v>
      </c>
      <c r="C514" s="15" t="s">
        <v>530</v>
      </c>
      <c r="D514" s="23" t="s">
        <v>531</v>
      </c>
    </row>
    <row r="515" spans="1:4" ht="19.8">
      <c r="A515" s="2"/>
      <c r="B515" s="22" t="s">
        <v>532</v>
      </c>
      <c r="C515" s="24"/>
      <c r="D515" s="23"/>
    </row>
    <row r="516" spans="1:4" ht="36">
      <c r="A516" s="2"/>
      <c r="B516" s="15" t="s">
        <v>484</v>
      </c>
      <c r="C516" s="14" t="s">
        <v>487</v>
      </c>
      <c r="D516" s="1"/>
    </row>
    <row r="517" spans="1:4" ht="19.8">
      <c r="A517" s="2"/>
      <c r="B517" s="16" t="s">
        <v>374</v>
      </c>
      <c r="C517" s="21"/>
      <c r="D517" s="1"/>
    </row>
    <row r="518" spans="1:4" ht="19.8">
      <c r="A518" s="2"/>
      <c r="B518" s="16" t="s">
        <v>375</v>
      </c>
      <c r="C518" s="21"/>
      <c r="D518" s="1"/>
    </row>
    <row r="519" spans="1:4" ht="19.8">
      <c r="A519" s="2"/>
      <c r="B519" s="16" t="s">
        <v>376</v>
      </c>
      <c r="C519" s="21"/>
      <c r="D519" s="1"/>
    </row>
    <row r="520" spans="1:4" ht="19.8">
      <c r="A520" s="2"/>
      <c r="B520" s="16" t="s">
        <v>377</v>
      </c>
      <c r="C520" s="21"/>
      <c r="D520" s="1"/>
    </row>
    <row r="521" spans="1:4" ht="19.8">
      <c r="A521" s="2"/>
      <c r="B521" s="16" t="s">
        <v>378</v>
      </c>
      <c r="C521" s="21"/>
      <c r="D521" s="1"/>
    </row>
    <row r="522" spans="1:4" ht="19.8">
      <c r="A522" s="2"/>
      <c r="B522" s="15" t="s">
        <v>379</v>
      </c>
      <c r="C522" s="21"/>
      <c r="D522" s="1"/>
    </row>
    <row r="523" spans="1:4" ht="19.8">
      <c r="A523" s="2"/>
      <c r="B523" s="15" t="s">
        <v>489</v>
      </c>
      <c r="C523" s="21"/>
      <c r="D523" s="1"/>
    </row>
    <row r="524" spans="1:4" ht="19.8">
      <c r="A524" s="2"/>
      <c r="B524" s="15" t="s">
        <v>494</v>
      </c>
      <c r="C524" s="21"/>
      <c r="D524" s="1"/>
    </row>
    <row r="525" spans="1:4" ht="19.8">
      <c r="A525" s="2"/>
      <c r="B525" s="15" t="s">
        <v>380</v>
      </c>
      <c r="C525" s="21" t="s">
        <v>504</v>
      </c>
      <c r="D525" s="1"/>
    </row>
    <row r="526" spans="1:4" ht="19.8">
      <c r="A526" s="2"/>
      <c r="B526" s="22" t="s">
        <v>505</v>
      </c>
      <c r="C526" s="21"/>
      <c r="D526" s="1"/>
    </row>
    <row r="527" spans="1:4" ht="19.8">
      <c r="A527" s="2"/>
      <c r="B527" s="16" t="s">
        <v>381</v>
      </c>
      <c r="C527" s="21"/>
      <c r="D527" s="1"/>
    </row>
    <row r="528" spans="1:4" ht="19.8">
      <c r="A528" s="2"/>
      <c r="B528" s="16" t="s">
        <v>382</v>
      </c>
      <c r="C528" s="21"/>
      <c r="D528" s="1"/>
    </row>
    <row r="529" spans="1:4" ht="19.8">
      <c r="A529" s="2"/>
      <c r="B529" s="15" t="s">
        <v>383</v>
      </c>
      <c r="C529" s="21"/>
      <c r="D529" s="1"/>
    </row>
    <row r="530" spans="1:4" ht="19.8">
      <c r="A530" s="2"/>
      <c r="B530" s="16" t="s">
        <v>384</v>
      </c>
      <c r="C530" s="21"/>
      <c r="D530" s="1"/>
    </row>
    <row r="531" spans="1:4" ht="19.8">
      <c r="A531" s="2"/>
      <c r="B531" s="16" t="s">
        <v>385</v>
      </c>
      <c r="C531" s="21"/>
      <c r="D531" s="1"/>
    </row>
    <row r="532" spans="1:4" ht="19.8">
      <c r="A532" s="2"/>
      <c r="B532" s="16" t="s">
        <v>386</v>
      </c>
      <c r="C532" s="21"/>
      <c r="D532" s="1"/>
    </row>
    <row r="533" spans="1:4" ht="19.8">
      <c r="A533" s="2"/>
      <c r="B533" s="16" t="s">
        <v>387</v>
      </c>
      <c r="C533" s="21"/>
      <c r="D533" s="1"/>
    </row>
    <row r="534" spans="1:4" ht="19.8">
      <c r="A534" s="2"/>
      <c r="B534" s="15" t="s">
        <v>492</v>
      </c>
      <c r="C534" s="21"/>
      <c r="D534" s="1"/>
    </row>
    <row r="535" spans="1:4" ht="19.8">
      <c r="A535" s="2"/>
      <c r="B535" s="15" t="s">
        <v>493</v>
      </c>
      <c r="C535" s="21"/>
      <c r="D535" s="1"/>
    </row>
    <row r="536" spans="1:4" ht="19.8">
      <c r="A536" s="2"/>
      <c r="B536" s="16" t="s">
        <v>388</v>
      </c>
      <c r="C536" s="21"/>
      <c r="D536" s="1"/>
    </row>
    <row r="537" spans="1:4" ht="19.8">
      <c r="A537" s="2"/>
      <c r="B537" s="16" t="s">
        <v>389</v>
      </c>
      <c r="C537" s="21"/>
      <c r="D537" s="1"/>
    </row>
    <row r="538" spans="1:4" ht="19.8">
      <c r="A538" s="2"/>
      <c r="B538" s="16" t="s">
        <v>390</v>
      </c>
      <c r="C538" s="21"/>
      <c r="D538" s="1"/>
    </row>
    <row r="539" spans="1:4" ht="19.8">
      <c r="A539" s="2"/>
      <c r="B539" s="16" t="s">
        <v>391</v>
      </c>
      <c r="C539" s="21"/>
      <c r="D539" s="1"/>
    </row>
    <row r="540" spans="1:4" ht="19.8">
      <c r="A540" s="2"/>
      <c r="B540" s="15" t="s">
        <v>392</v>
      </c>
      <c r="C540" s="21" t="s">
        <v>478</v>
      </c>
      <c r="D540" s="1"/>
    </row>
    <row r="541" spans="1:4" ht="19.8">
      <c r="A541" s="2"/>
      <c r="B541" s="16" t="s">
        <v>393</v>
      </c>
      <c r="C541" s="21"/>
      <c r="D541" s="1"/>
    </row>
    <row r="542" spans="1:4" ht="19.8">
      <c r="A542" s="2"/>
      <c r="B542" s="16" t="s">
        <v>394</v>
      </c>
      <c r="C542" s="21"/>
      <c r="D542" s="1"/>
    </row>
    <row r="543" spans="1:4" ht="19.8">
      <c r="A543" s="2"/>
      <c r="B543" s="16" t="s">
        <v>395</v>
      </c>
      <c r="C543" s="21"/>
      <c r="D543" s="1"/>
    </row>
    <row r="544" spans="1:4" ht="19.8">
      <c r="A544" s="2"/>
      <c r="B544" s="16" t="s">
        <v>396</v>
      </c>
      <c r="C544" s="21"/>
      <c r="D544" s="1"/>
    </row>
    <row r="545" spans="1:4" ht="19.8">
      <c r="A545" s="2"/>
      <c r="B545" s="15" t="s">
        <v>397</v>
      </c>
      <c r="C545" s="21"/>
      <c r="D545" s="1"/>
    </row>
    <row r="546" spans="1:4" ht="19.8">
      <c r="A546" s="2"/>
      <c r="B546" s="19" t="s">
        <v>490</v>
      </c>
      <c r="C546" s="21" t="s">
        <v>491</v>
      </c>
      <c r="D546" s="1"/>
    </row>
    <row r="547" spans="1:4" ht="19.8">
      <c r="A547" s="2"/>
      <c r="B547" s="16" t="s">
        <v>398</v>
      </c>
      <c r="C547" s="21"/>
      <c r="D547" s="1"/>
    </row>
    <row r="548" spans="1:4" ht="19.8">
      <c r="A548" s="2"/>
      <c r="B548" s="16" t="s">
        <v>399</v>
      </c>
      <c r="C548" s="21"/>
      <c r="D548" s="1"/>
    </row>
    <row r="549" spans="1:4" ht="19.8">
      <c r="A549" s="2"/>
      <c r="B549" s="16" t="s">
        <v>400</v>
      </c>
      <c r="C549" s="21"/>
      <c r="D549" s="1"/>
    </row>
    <row r="550" spans="1:4" ht="19.8">
      <c r="A550" s="2"/>
      <c r="B550" s="16" t="s">
        <v>401</v>
      </c>
      <c r="C550" s="21"/>
      <c r="D550" s="1"/>
    </row>
    <row r="551" spans="1:4" ht="19.8">
      <c r="A551" s="2"/>
      <c r="B551" s="15" t="s">
        <v>402</v>
      </c>
      <c r="D551" s="1"/>
    </row>
    <row r="552" spans="1:4" ht="19.8">
      <c r="A552" s="2"/>
      <c r="B552" s="16" t="s">
        <v>403</v>
      </c>
      <c r="C552" s="21"/>
      <c r="D552" s="1"/>
    </row>
    <row r="553" spans="1:4" ht="19.8">
      <c r="A553" s="2"/>
      <c r="B553" s="16" t="s">
        <v>404</v>
      </c>
      <c r="C553" s="21"/>
      <c r="D553" s="1"/>
    </row>
    <row r="554" spans="1:4" ht="19.8">
      <c r="A554" s="2"/>
      <c r="B554" s="15" t="s">
        <v>405</v>
      </c>
      <c r="C554" s="21" t="s">
        <v>485</v>
      </c>
      <c r="D554" s="1"/>
    </row>
    <row r="555" spans="1:4" ht="19.8">
      <c r="A555" s="2"/>
      <c r="B555" s="15" t="s">
        <v>406</v>
      </c>
      <c r="C555" s="21" t="s">
        <v>495</v>
      </c>
      <c r="D555" s="1"/>
    </row>
    <row r="556" spans="1:4" ht="36.6">
      <c r="A556" s="2"/>
      <c r="B556" s="22" t="s">
        <v>498</v>
      </c>
      <c r="C556" s="33" t="s">
        <v>500</v>
      </c>
      <c r="D556" s="1"/>
    </row>
    <row r="557" spans="1:4" ht="36.6">
      <c r="A557" s="2"/>
      <c r="B557" s="22" t="s">
        <v>499</v>
      </c>
      <c r="C557" s="33" t="s">
        <v>501</v>
      </c>
      <c r="D557" s="1"/>
    </row>
    <row r="558" spans="1:4" ht="19.8">
      <c r="A558" s="2"/>
      <c r="B558" s="15" t="s">
        <v>502</v>
      </c>
      <c r="C558" s="33"/>
      <c r="D558" s="1"/>
    </row>
    <row r="559" spans="1:4" ht="19.8">
      <c r="A559" s="2"/>
      <c r="B559" s="15" t="s">
        <v>503</v>
      </c>
      <c r="C559" s="33"/>
      <c r="D559" s="1"/>
    </row>
    <row r="560" spans="1:4" ht="19.8">
      <c r="A560" s="2"/>
      <c r="B560" s="19" t="s">
        <v>407</v>
      </c>
      <c r="C560" s="21"/>
      <c r="D560" s="1"/>
    </row>
    <row r="561" spans="1:4" ht="19.8">
      <c r="A561" s="2"/>
      <c r="B561" s="19" t="s">
        <v>497</v>
      </c>
      <c r="C561" s="21"/>
      <c r="D561" s="1"/>
    </row>
    <row r="562" spans="1:4" ht="54.6">
      <c r="A562" s="2"/>
      <c r="B562" s="19" t="s">
        <v>408</v>
      </c>
      <c r="C562" s="20" t="s">
        <v>1172</v>
      </c>
      <c r="D562" s="1"/>
    </row>
    <row r="563" spans="1:4" ht="19.8">
      <c r="A563" s="2"/>
      <c r="B563" s="16" t="s">
        <v>409</v>
      </c>
      <c r="C563" s="21"/>
      <c r="D563" s="1"/>
    </row>
    <row r="564" spans="1:4" ht="19.8">
      <c r="A564" s="2"/>
      <c r="B564" s="16" t="s">
        <v>410</v>
      </c>
      <c r="C564" s="21"/>
      <c r="D564" s="1"/>
    </row>
    <row r="565" spans="1:4" ht="19.8">
      <c r="A565" s="2"/>
      <c r="B565" s="16" t="s">
        <v>411</v>
      </c>
      <c r="C565" s="21"/>
      <c r="D565" s="1"/>
    </row>
    <row r="566" spans="1:4" ht="19.8">
      <c r="A566" s="2"/>
      <c r="B566" s="16" t="s">
        <v>412</v>
      </c>
      <c r="C566" s="21"/>
      <c r="D566" s="1"/>
    </row>
    <row r="567" spans="1:4" ht="19.8">
      <c r="A567" s="2"/>
      <c r="B567" s="15" t="s">
        <v>413</v>
      </c>
      <c r="C567" s="21"/>
      <c r="D567" s="1"/>
    </row>
    <row r="568" spans="1:4" ht="19.8">
      <c r="A568" s="2"/>
      <c r="B568" s="16" t="s">
        <v>414</v>
      </c>
      <c r="C568" s="21"/>
      <c r="D568" s="1"/>
    </row>
    <row r="569" spans="1:4" ht="19.8">
      <c r="A569" s="2"/>
      <c r="B569" s="16" t="s">
        <v>415</v>
      </c>
      <c r="C569" s="21"/>
      <c r="D569" s="1"/>
    </row>
    <row r="570" spans="1:4" ht="19.8">
      <c r="A570" s="2"/>
      <c r="B570" s="16" t="s">
        <v>416</v>
      </c>
      <c r="C570" s="21"/>
      <c r="D570" s="1"/>
    </row>
    <row r="571" spans="1:4" ht="19.8">
      <c r="A571" s="2"/>
      <c r="B571" s="16" t="s">
        <v>417</v>
      </c>
      <c r="C571" s="21"/>
      <c r="D571" s="1"/>
    </row>
    <row r="572" spans="1:4" ht="19.8">
      <c r="A572" s="2"/>
      <c r="B572" s="19" t="s">
        <v>1453</v>
      </c>
      <c r="C572" s="21" t="s">
        <v>1454</v>
      </c>
      <c r="D572" s="1"/>
    </row>
    <row r="573" spans="1:4" ht="19.8">
      <c r="A573" s="2"/>
      <c r="B573" s="16" t="s">
        <v>418</v>
      </c>
      <c r="C573" s="21"/>
      <c r="D573" s="1"/>
    </row>
    <row r="574" spans="1:4" ht="19.8">
      <c r="A574" s="2"/>
      <c r="B574" s="16" t="s">
        <v>419</v>
      </c>
      <c r="C574" s="21"/>
      <c r="D574" s="1"/>
    </row>
    <row r="575" spans="1:4" ht="19.8">
      <c r="A575" s="2"/>
      <c r="B575" s="16" t="s">
        <v>420</v>
      </c>
      <c r="C575" s="21"/>
      <c r="D575" s="1"/>
    </row>
    <row r="576" spans="1:4" ht="19.8">
      <c r="A576" s="2"/>
      <c r="B576" s="16" t="s">
        <v>421</v>
      </c>
      <c r="C576" s="21"/>
      <c r="D576" s="1"/>
    </row>
    <row r="577" spans="1:4" ht="19.8">
      <c r="A577" s="2"/>
      <c r="B577" s="15" t="s">
        <v>583</v>
      </c>
      <c r="C577" s="21" t="s">
        <v>595</v>
      </c>
      <c r="D577" s="1"/>
    </row>
    <row r="578" spans="1:4" ht="19.8">
      <c r="A578" s="2"/>
      <c r="B578" s="16" t="s">
        <v>422</v>
      </c>
      <c r="D578" s="1"/>
    </row>
    <row r="579" spans="1:4" ht="19.8">
      <c r="A579" s="4"/>
      <c r="B579" s="16" t="s">
        <v>423</v>
      </c>
      <c r="D579" s="1"/>
    </row>
    <row r="580" spans="1:4" ht="19.8">
      <c r="A580" s="2"/>
      <c r="B580" s="16" t="s">
        <v>424</v>
      </c>
      <c r="C580" s="21"/>
      <c r="D580" s="1"/>
    </row>
    <row r="581" spans="1:4" ht="19.8">
      <c r="A581" s="2"/>
      <c r="C581" s="21"/>
      <c r="D581" s="1"/>
    </row>
    <row r="582" spans="1:4" ht="19.8">
      <c r="A582" s="2"/>
      <c r="B582" s="29" t="s">
        <v>616</v>
      </c>
      <c r="C582" s="21"/>
      <c r="D582" s="1"/>
    </row>
    <row r="583" spans="1:4" ht="36.6">
      <c r="A583" s="2"/>
      <c r="B583" s="22" t="s">
        <v>538</v>
      </c>
      <c r="C583" s="20" t="s">
        <v>596</v>
      </c>
      <c r="D583" s="1"/>
    </row>
    <row r="584" spans="1:4" ht="19.8">
      <c r="A584" s="2"/>
      <c r="B584" s="16" t="s">
        <v>425</v>
      </c>
      <c r="C584" s="21"/>
      <c r="D584" s="1"/>
    </row>
    <row r="585" spans="1:4" ht="19.8">
      <c r="A585" s="2"/>
      <c r="B585" s="16" t="s">
        <v>426</v>
      </c>
      <c r="C585" s="21"/>
      <c r="D585" s="1"/>
    </row>
    <row r="586" spans="1:4" ht="19.8">
      <c r="A586" s="2"/>
      <c r="B586" s="16" t="s">
        <v>427</v>
      </c>
      <c r="C586" s="21"/>
      <c r="D586" s="1"/>
    </row>
    <row r="587" spans="1:4" ht="19.8">
      <c r="A587" s="2"/>
      <c r="B587" s="16" t="s">
        <v>428</v>
      </c>
      <c r="C587" s="21"/>
      <c r="D587" s="1"/>
    </row>
    <row r="588" spans="1:4" ht="19.8">
      <c r="A588" s="2"/>
      <c r="B588" s="16" t="s">
        <v>429</v>
      </c>
      <c r="C588" s="21"/>
      <c r="D588" s="1"/>
    </row>
    <row r="589" spans="1:4" ht="19.8">
      <c r="A589" s="2"/>
      <c r="B589" s="16" t="s">
        <v>430</v>
      </c>
      <c r="C589" s="21"/>
      <c r="D589" s="1"/>
    </row>
    <row r="590" spans="1:4" ht="19.8">
      <c r="A590" s="2"/>
      <c r="B590" s="16" t="s">
        <v>431</v>
      </c>
      <c r="C590" s="21"/>
      <c r="D590" s="1"/>
    </row>
    <row r="591" spans="1:4">
      <c r="B591" s="16" t="s">
        <v>432</v>
      </c>
    </row>
    <row r="592" spans="1:4">
      <c r="B592" s="16" t="s">
        <v>433</v>
      </c>
    </row>
    <row r="593" spans="1:3">
      <c r="B593" s="16" t="s">
        <v>434</v>
      </c>
    </row>
    <row r="596" spans="1:3">
      <c r="B596" s="29" t="s">
        <v>617</v>
      </c>
    </row>
    <row r="597" spans="1:3" ht="72">
      <c r="B597" s="19" t="s">
        <v>464</v>
      </c>
      <c r="C597" s="31" t="s">
        <v>1174</v>
      </c>
    </row>
    <row r="599" spans="1:3">
      <c r="B599" s="15" t="s">
        <v>462</v>
      </c>
    </row>
    <row r="600" spans="1:3">
      <c r="B600" s="22" t="s">
        <v>463</v>
      </c>
    </row>
    <row r="601" spans="1:3">
      <c r="B601" s="15" t="s">
        <v>465</v>
      </c>
    </row>
    <row r="602" spans="1:3">
      <c r="B602" s="15" t="s">
        <v>470</v>
      </c>
      <c r="C602" s="15" t="s">
        <v>1173</v>
      </c>
    </row>
    <row r="603" spans="1:3">
      <c r="B603" s="15" t="s">
        <v>471</v>
      </c>
    </row>
    <row r="604" spans="1:3">
      <c r="B604" s="15" t="s">
        <v>506</v>
      </c>
    </row>
    <row r="605" spans="1:3" ht="20.399999999999999">
      <c r="B605" s="37" t="s">
        <v>562</v>
      </c>
    </row>
    <row r="606" spans="1:3">
      <c r="A606" s="25" t="s">
        <v>474</v>
      </c>
      <c r="B606" s="36" t="s">
        <v>563</v>
      </c>
    </row>
    <row r="607" spans="1:3">
      <c r="B607" s="43" t="s">
        <v>564</v>
      </c>
      <c r="C607" s="29" t="s">
        <v>565</v>
      </c>
    </row>
    <row r="608" spans="1:3">
      <c r="B608" s="36" t="s">
        <v>566</v>
      </c>
    </row>
    <row r="609" spans="2:3">
      <c r="B609" s="44" t="s">
        <v>567</v>
      </c>
    </row>
    <row r="610" spans="2:3">
      <c r="B610" s="44" t="s">
        <v>568</v>
      </c>
    </row>
    <row r="611" spans="2:3">
      <c r="B611" s="43" t="s">
        <v>569</v>
      </c>
    </row>
    <row r="612" spans="2:3" ht="108">
      <c r="B612" s="43" t="s">
        <v>570</v>
      </c>
      <c r="C612" s="31" t="s">
        <v>581</v>
      </c>
    </row>
    <row r="613" spans="2:3">
      <c r="B613" s="19" t="s">
        <v>787</v>
      </c>
      <c r="C613" s="29" t="s">
        <v>788</v>
      </c>
    </row>
    <row r="643" spans="2:3">
      <c r="B643" s="29" t="s">
        <v>618</v>
      </c>
    </row>
    <row r="644" spans="2:3">
      <c r="B644" s="16" t="s">
        <v>586</v>
      </c>
      <c r="C644" s="29" t="s">
        <v>587</v>
      </c>
    </row>
  </sheetData>
  <hyperlinks>
    <hyperlink ref="B6" r:id="rId1" xr:uid="{9492A4AD-FA44-BA4B-B154-E4DBB1951162}"/>
    <hyperlink ref="B7" r:id="rId2" xr:uid="{2D6F1134-3C08-7445-B19A-9B94A18B55C7}"/>
    <hyperlink ref="B8" r:id="rId3" xr:uid="{E5A98931-37E8-6B4A-90BE-8DC72405341A}"/>
    <hyperlink ref="B9" r:id="rId4" xr:uid="{02736918-E09F-7A46-90B3-AFCC33AA559B}"/>
    <hyperlink ref="B10" r:id="rId5" xr:uid="{6E8DD30A-A9F9-4C44-B26C-C9E236F10798}"/>
    <hyperlink ref="B11" r:id="rId6" xr:uid="{0D55765B-95A7-154F-96F3-B7E4C581021F}"/>
    <hyperlink ref="B12" r:id="rId7" xr:uid="{6F687ABA-C04B-AF4F-9F11-A038DCB20FB9}"/>
    <hyperlink ref="B13" r:id="rId8" xr:uid="{11C9D8CC-9F1E-004E-8EC2-C758DC9C8CAB}"/>
    <hyperlink ref="B14" r:id="rId9" xr:uid="{56E4962F-CB3D-9E48-A26E-19A1F5C800C9}"/>
    <hyperlink ref="B15" r:id="rId10" xr:uid="{899DDBD9-9ED6-3A4D-8AFE-8FAA6DA88DBC}"/>
    <hyperlink ref="B16" r:id="rId11" xr:uid="{76D41EAC-A28A-2845-8515-CA3C70D823B7}"/>
    <hyperlink ref="B17" r:id="rId12" xr:uid="{828948BE-DD97-DE4A-BAD6-B415E29198F0}"/>
    <hyperlink ref="B19" r:id="rId13" xr:uid="{E98C86AA-12E7-124C-B7D0-BCDFB246040B}"/>
    <hyperlink ref="B21" r:id="rId14" xr:uid="{192741A9-FF68-DC4A-99FA-69F9968AB4F2}"/>
    <hyperlink ref="B22" r:id="rId15" xr:uid="{DBD9BA9C-91C6-B144-A800-DCB3BED33DE7}"/>
    <hyperlink ref="B23" r:id="rId16" xr:uid="{A285BDE8-00E7-A94C-8E43-A0C4829D42FA}"/>
    <hyperlink ref="B24" r:id="rId17" xr:uid="{B0C21764-2962-1649-8AFA-10FB9420C5FC}"/>
    <hyperlink ref="B25" r:id="rId18" xr:uid="{9282CC15-9B38-E54B-B64C-557745C9C00A}"/>
    <hyperlink ref="B26" r:id="rId19" xr:uid="{3BCCEBE2-AC3B-AC4F-8BA9-439ACEA133D4}"/>
    <hyperlink ref="B27" r:id="rId20" xr:uid="{74F8D761-6EBF-594A-A6C7-40DE4CE96958}"/>
    <hyperlink ref="B28" r:id="rId21" xr:uid="{79947FE6-D417-D644-81D8-D058180550A0}"/>
    <hyperlink ref="B29" r:id="rId22" xr:uid="{2BF3F606-410B-264D-BF60-191C34D616BB}"/>
    <hyperlink ref="B30" r:id="rId23" xr:uid="{CD98DB26-0F2F-FD40-A989-53FE548D7D34}"/>
    <hyperlink ref="B31" r:id="rId24" xr:uid="{307032A1-F8EF-1A48-BFE3-EA3283D39BE2}"/>
    <hyperlink ref="B32" r:id="rId25" xr:uid="{AA329F36-941A-9241-9402-9D220B05E719}"/>
    <hyperlink ref="B33" r:id="rId26" xr:uid="{9E851DAC-0E30-B340-84F9-721D70B66919}"/>
    <hyperlink ref="B34" r:id="rId27" xr:uid="{468380BA-4978-A645-ABD0-E74FD3E6BDBB}"/>
    <hyperlink ref="B35" r:id="rId28" xr:uid="{289E6890-8CCB-D645-9B3F-6138FFC1C249}"/>
    <hyperlink ref="B36" r:id="rId29" xr:uid="{8EABDC68-858F-784A-A8F1-C603E3B8C1FE}"/>
    <hyperlink ref="B37" r:id="rId30" xr:uid="{6157E427-1210-3F45-A4DC-6DFD2373B9CF}"/>
    <hyperlink ref="B38" r:id="rId31" xr:uid="{2D7BA55E-9947-FF4D-BC09-FB4A5ADA07EC}"/>
    <hyperlink ref="B39" r:id="rId32" xr:uid="{3337C74F-8B73-E64E-A6DA-5D9F7C7B4D32}"/>
    <hyperlink ref="B40" r:id="rId33" xr:uid="{02370124-E58D-B540-BBCF-98266229556D}"/>
    <hyperlink ref="B41" r:id="rId34" xr:uid="{F2DE2162-BD02-7549-AC1A-27455F78131F}"/>
    <hyperlink ref="B42" r:id="rId35" xr:uid="{6FA286B9-3994-624D-B0B8-C01657D110AD}"/>
    <hyperlink ref="B43" r:id="rId36" xr:uid="{6EFBEDA1-5C10-2547-8FB2-44E977513B28}"/>
    <hyperlink ref="B49" r:id="rId37" xr:uid="{090EC515-BEBE-514E-BA59-A84E450B4211}"/>
    <hyperlink ref="B50" r:id="rId38" xr:uid="{0A0557FD-77E5-564B-B100-147D544A38B4}"/>
    <hyperlink ref="B51" r:id="rId39" xr:uid="{3F82F2E0-AA59-5042-B079-F3B3C6FF2FD7}"/>
    <hyperlink ref="B52" r:id="rId40" xr:uid="{FFF7D257-1F58-5A4B-AAA2-F5480AED86C7}"/>
    <hyperlink ref="B53" r:id="rId41" xr:uid="{353E28FA-E36D-7447-9DE8-787DF11C4669}"/>
    <hyperlink ref="B54" r:id="rId42" xr:uid="{F9B53127-FC98-FE43-B53F-BFDBCE2A4427}"/>
    <hyperlink ref="B55" r:id="rId43" xr:uid="{40685BBC-CE24-624E-9ABB-98490B7DE0E4}"/>
    <hyperlink ref="B56" r:id="rId44" xr:uid="{7733D505-2EC7-E346-B3DA-C980C7CE0B27}"/>
    <hyperlink ref="B57" r:id="rId45" xr:uid="{E8C1FE00-7B4B-5745-8E4B-CD44B6C749E3}"/>
    <hyperlink ref="B58" r:id="rId46" xr:uid="{FDE181B1-57B0-7C4B-A189-C7C6E4EAEF99}"/>
    <hyperlink ref="B64" r:id="rId47" xr:uid="{FE85FD72-4FC9-334E-8205-9E8B238954EB}"/>
    <hyperlink ref="B65" r:id="rId48" xr:uid="{7630AD76-7E6B-8C4A-BA33-A62EBB042215}"/>
    <hyperlink ref="B66" r:id="rId49" xr:uid="{2A738B70-CBF0-CC40-8B05-A271822B3F1A}"/>
    <hyperlink ref="B68" r:id="rId50" xr:uid="{B2DE2D9E-8371-CD44-9D0D-4D6DC64AC29B}"/>
    <hyperlink ref="B69" r:id="rId51" xr:uid="{265DCD11-17A0-654E-BEFE-FABA31210C6E}"/>
    <hyperlink ref="B70" r:id="rId52" xr:uid="{47F1BB0C-0C5C-0845-8EEC-1560C50D7DA7}"/>
    <hyperlink ref="B71" r:id="rId53" xr:uid="{8E0BFA2E-CCB4-514F-86CD-78176C6CC98A}"/>
    <hyperlink ref="B72" r:id="rId54" xr:uid="{E4DEFB4B-749F-8746-97C7-F2B433664A74}"/>
    <hyperlink ref="B73" r:id="rId55" xr:uid="{8301BDBD-EB7E-7D41-A777-ED99C3F9D67D}"/>
    <hyperlink ref="B74" r:id="rId56" xr:uid="{927AE532-647F-AF4C-A567-40ADA6FCE534}"/>
    <hyperlink ref="B75" r:id="rId57" xr:uid="{05489F52-CC92-EC44-9AD3-773DEC3B1D36}"/>
    <hyperlink ref="B76" r:id="rId58" xr:uid="{13025DF6-C30E-014A-B66C-68C4AAAC1C6E}"/>
    <hyperlink ref="B77" r:id="rId59" xr:uid="{BEE1F613-C189-B949-A225-0E0C5AFD1532}"/>
    <hyperlink ref="B78" r:id="rId60" xr:uid="{1DFECD6C-D7CC-0340-B29B-4D56E50711E5}"/>
    <hyperlink ref="B79" r:id="rId61" xr:uid="{70BED156-B004-E043-BF7D-59EFAA9EADAF}"/>
    <hyperlink ref="B80" r:id="rId62" xr:uid="{FF9CBAFB-900E-E242-8B33-EDF46F0F40B5}"/>
    <hyperlink ref="B81" r:id="rId63" xr:uid="{19461114-B3E8-9042-8029-100010946A04}"/>
    <hyperlink ref="B82" r:id="rId64" xr:uid="{00F71118-E30B-A84E-819E-FFA902C70502}"/>
    <hyperlink ref="B83" r:id="rId65" xr:uid="{58E70966-BBE0-7743-A250-AE4DD57807DE}"/>
    <hyperlink ref="B84" r:id="rId66" xr:uid="{09409FE3-9D7E-4F43-BB21-14A1B8D6E480}"/>
    <hyperlink ref="B85" r:id="rId67" xr:uid="{E199A3DC-3DA1-C648-93C0-DF9CD5331204}"/>
    <hyperlink ref="B86" r:id="rId68" xr:uid="{85886847-1510-AA46-B10C-F3D80591DD74}"/>
    <hyperlink ref="B87" r:id="rId69" xr:uid="{F60808FC-F09D-FC44-B2DD-752E55A1C698}"/>
    <hyperlink ref="B88" r:id="rId70" xr:uid="{16B2725E-1AD5-0441-9B5B-B6B2F458091B}"/>
    <hyperlink ref="B89" r:id="rId71" xr:uid="{8440D753-5DE9-3243-97C2-C09D195C325F}"/>
    <hyperlink ref="B90" r:id="rId72" xr:uid="{AC63A963-B6CC-6E4E-B72A-7F472BC4C027}"/>
    <hyperlink ref="B91" r:id="rId73" xr:uid="{B21B87F1-A0C0-7F4E-B36F-912B871D0EF4}"/>
    <hyperlink ref="B92" r:id="rId74" xr:uid="{789FFFAC-8B7E-0540-98B8-856430EB56F8}"/>
    <hyperlink ref="B93" r:id="rId75" xr:uid="{4A0E959E-22F4-6948-A819-76FE76AB9F6D}"/>
    <hyperlink ref="B94" r:id="rId76" xr:uid="{78B76678-D8EE-9745-98B1-DF7A76EA3B10}"/>
    <hyperlink ref="B95" r:id="rId77" xr:uid="{62982242-1D19-1544-8653-8E25E9BF4505}"/>
    <hyperlink ref="B96" r:id="rId78" xr:uid="{8E3D4BDF-9F8F-0542-BFD8-C3CE3BF396E6}"/>
    <hyperlink ref="B97" r:id="rId79" xr:uid="{A3D51762-65A1-9A44-B619-D1D98A7F403B}"/>
    <hyperlink ref="B98" r:id="rId80" xr:uid="{ED0F5FC7-0066-EB44-8FCF-460600DADB02}"/>
    <hyperlink ref="B99" r:id="rId81" xr:uid="{2D956AC4-4774-7446-8473-C4CE00E33C17}"/>
    <hyperlink ref="B100" r:id="rId82" xr:uid="{C8C607BB-1FEE-FA47-9E3E-6C0BCE978B7F}"/>
    <hyperlink ref="B101" r:id="rId83" xr:uid="{B9AC5194-6D36-684A-A5C4-BEE11037599F}"/>
    <hyperlink ref="B102" r:id="rId84" xr:uid="{AB28D9E6-890C-F14A-A5FB-2303BE319968}"/>
    <hyperlink ref="B103" r:id="rId85" xr:uid="{1F507CBC-4056-AD46-9314-95ECBB9D799D}"/>
    <hyperlink ref="B104" r:id="rId86" xr:uid="{F152A9AF-5CBA-EC44-A9CF-07AB481435AB}"/>
    <hyperlink ref="B105" r:id="rId87" xr:uid="{346CA74F-60B7-0A4B-A612-9184D4DCFF62}"/>
    <hyperlink ref="B106" r:id="rId88" xr:uid="{8C653CB1-4954-754F-8D46-F09141A2FCDB}"/>
    <hyperlink ref="B112" r:id="rId89" xr:uid="{5989F693-2A61-A346-8395-8674307A4CC2}"/>
    <hyperlink ref="B113" r:id="rId90" xr:uid="{3AD10C9E-4F6D-DE48-92F3-531A586520C6}"/>
    <hyperlink ref="B114" r:id="rId91" xr:uid="{4FA217C0-A1F3-904E-8FEA-EA4941273A67}"/>
    <hyperlink ref="B115" r:id="rId92" xr:uid="{A297BBC0-FA0D-2D46-9C49-3932193EF1D3}"/>
    <hyperlink ref="B117" r:id="rId93" location=":~:text=We%20need%20to%20find%20a,set%20of%20points%20is%20minimum.&amp;text=In%20above%20figure%20optimum%20location,is%20minimum%20obtainable%20total%20distance." xr:uid="{DCD751DE-E440-F346-B6FD-CBD072217214}"/>
    <hyperlink ref="B118" r:id="rId94" xr:uid="{B2FD38B9-1E2B-8140-8291-F45734C98145}"/>
    <hyperlink ref="B119" r:id="rId95" xr:uid="{C76888B3-18AC-9B48-9E2A-64A7DF0902B7}"/>
    <hyperlink ref="B120" r:id="rId96" xr:uid="{18A79860-6C9E-A941-8D6C-360B9913E941}"/>
    <hyperlink ref="B121" r:id="rId97" xr:uid="{C0DDFD68-CBC1-0F4A-AF40-ACF36BBC8453}"/>
    <hyperlink ref="B122" r:id="rId98" xr:uid="{3E0BF737-E42E-C946-B32C-06882E0BA6FF}"/>
    <hyperlink ref="B124" r:id="rId99" xr:uid="{862F9782-C57B-2848-A2D9-EB7B52FB7EC7}"/>
    <hyperlink ref="B125" r:id="rId100" xr:uid="{230D7A6A-D2C5-C140-9A65-B1F407D22062}"/>
    <hyperlink ref="B126" r:id="rId101" xr:uid="{BDC2BA28-4562-984E-8282-1126BF952EAF}"/>
    <hyperlink ref="B127" r:id="rId102" xr:uid="{B53A5F28-6DED-3D47-8679-F78D3DDEFF01}"/>
    <hyperlink ref="B128" r:id="rId103" xr:uid="{C57D0CC7-DA2F-0948-9BCE-F19C20C7D981}"/>
    <hyperlink ref="B129" r:id="rId104" xr:uid="{117878E5-B8C8-254B-8ED6-014B4B7A8126}"/>
    <hyperlink ref="B130" r:id="rId105" xr:uid="{B7CC0756-74F2-D54D-BDEE-9DA394DD7168}"/>
    <hyperlink ref="B131" r:id="rId106" xr:uid="{837EF472-CCC2-CF47-A8A8-238E56F722CE}"/>
    <hyperlink ref="B132" r:id="rId107" xr:uid="{3608F267-6AA0-624B-B243-7DDD317E9F08}"/>
    <hyperlink ref="B133" r:id="rId108" xr:uid="{0B6123E6-0472-374B-ACA7-6914CD7918E8}"/>
    <hyperlink ref="B134" r:id="rId109" xr:uid="{D3971CEB-C53E-B04B-9C32-1803182B5DC5}"/>
    <hyperlink ref="B135" r:id="rId110" xr:uid="{7CF5013A-643E-1643-93A1-A2F1500D2A23}"/>
    <hyperlink ref="B136" r:id="rId111" xr:uid="{2A6BE7E5-D818-6843-8C3E-99EA2BFE0FB2}"/>
    <hyperlink ref="B137" r:id="rId112" xr:uid="{E718F544-96DF-A04E-8DFB-7639DA3EA57C}"/>
    <hyperlink ref="B138" r:id="rId113" xr:uid="{B0C2F065-424A-7345-A864-346ECD98D749}"/>
    <hyperlink ref="B139" r:id="rId114" xr:uid="{B4E26955-5C3F-804E-B19A-11260310AFB3}"/>
    <hyperlink ref="B140" r:id="rId115" xr:uid="{6F299BB5-8E82-0240-A9A3-6829CE3ABCBF}"/>
    <hyperlink ref="B141" r:id="rId116" xr:uid="{A42CA32F-2196-1840-A53D-E5073237C68D}"/>
    <hyperlink ref="B142" r:id="rId117" xr:uid="{7ECF6EF4-962E-4642-9B1C-C3B70674793E}"/>
    <hyperlink ref="B143" r:id="rId118" xr:uid="{2A109178-6B60-164E-9D25-42B3282137E3}"/>
    <hyperlink ref="B144" r:id="rId119" xr:uid="{B3D38BD0-A6A1-8D41-8405-45E1BEEEEF06}"/>
    <hyperlink ref="B145" r:id="rId120" xr:uid="{A1C26612-D040-2A41-A6A6-A8F2490C0A43}"/>
    <hyperlink ref="B146" r:id="rId121" xr:uid="{C476E807-64CB-F44A-A23D-D21EBF6D001D}"/>
    <hyperlink ref="B147" r:id="rId122" xr:uid="{9A414D55-D4A1-F147-9207-61B597D57136}"/>
    <hyperlink ref="B116" r:id="rId123" xr:uid="{18B028A7-9B6F-D841-8548-924D70530779}"/>
    <hyperlink ref="B123" r:id="rId124" xr:uid="{6D3E75EF-733F-7A4B-81C8-AEF6CB6335F0}"/>
    <hyperlink ref="B153" r:id="rId125" xr:uid="{C9EB2682-BE0B-934B-B0B4-1DD1A1502647}"/>
    <hyperlink ref="B154" r:id="rId126" display="Reverse a Linked List in group of Given Size. [Very Imp]" xr:uid="{2992FED9-2B78-A342-92AA-E7C0F882FF17}"/>
    <hyperlink ref="B159" r:id="rId127" xr:uid="{0084DA6F-EC84-BD48-BDA8-EBACA3BB3B3E}"/>
    <hyperlink ref="B161" r:id="rId128" xr:uid="{30F2D415-4B2C-384C-8EAE-2CC71CB518E2}"/>
    <hyperlink ref="B162" r:id="rId129" xr:uid="{40734C88-7C5B-9747-86D1-03463D9AD41A}"/>
    <hyperlink ref="B163" r:id="rId130" xr:uid="{1040D22F-6729-104A-A229-CBDCED93024A}"/>
    <hyperlink ref="B164" r:id="rId131" xr:uid="{E131FE61-FABF-8E4B-8EF0-F68379D8F836}"/>
    <hyperlink ref="B165" r:id="rId132" xr:uid="{B2129272-1351-3745-883B-E6A7115450C8}"/>
    <hyperlink ref="B166" r:id="rId133" xr:uid="{C8B2DEF0-2B69-C84E-8013-0B6F03FFC250}"/>
    <hyperlink ref="B167" r:id="rId134" xr:uid="{536AC5CF-712F-BF48-94A9-D0E7DC013020}"/>
    <hyperlink ref="B168" r:id="rId135" xr:uid="{2DABC9C7-43D4-1249-AF9B-5FA4552611CB}"/>
    <hyperlink ref="B169" r:id="rId136" xr:uid="{DA62E73A-B495-F94A-BECE-D42E4CBF074A}"/>
    <hyperlink ref="B171" r:id="rId137" xr:uid="{7F5E6966-850D-4F49-B2A5-678365713F28}"/>
    <hyperlink ref="B173" r:id="rId138" xr:uid="{E9C4286D-8493-9A47-8B8C-09583FA72B70}"/>
    <hyperlink ref="B175" r:id="rId139" xr:uid="{9EB0123C-84AE-1C4D-BA1A-C28CFB8EFB89}"/>
    <hyperlink ref="B176" r:id="rId140" xr:uid="{48AE72DB-397B-464D-88AD-B8058ED29CC1}"/>
    <hyperlink ref="B177" r:id="rId141" xr:uid="{152D50E9-7448-F542-AC66-05D0AE66664C}"/>
    <hyperlink ref="B178" r:id="rId142" xr:uid="{34E6AF1B-5FB1-3A4B-8938-1DCF80831DC2}"/>
    <hyperlink ref="B179" r:id="rId143" xr:uid="{E7F8B7CA-49F4-1946-91EE-E7582BE4E5DA}"/>
    <hyperlink ref="B180" r:id="rId144" xr:uid="{3590A994-B7A2-C14D-9BF8-7AC8FE9E7F0F}"/>
    <hyperlink ref="B181" r:id="rId145" xr:uid="{0AAA4B0C-4921-C34D-B41E-D702FA860892}"/>
    <hyperlink ref="B182" r:id="rId146" xr:uid="{5973FCA4-AE32-5248-A6ED-2694367332F1}"/>
    <hyperlink ref="B183" r:id="rId147" xr:uid="{4C0F816E-F043-0C47-BF16-1CDAD88D2FF1}"/>
    <hyperlink ref="B185" r:id="rId148" xr:uid="{A8E4C654-D0BD-8945-9F5C-B09F7BC114BE}"/>
    <hyperlink ref="B188" r:id="rId149" xr:uid="{E3825C15-10BB-E24F-B229-983F651DA942}"/>
    <hyperlink ref="B189" r:id="rId150" xr:uid="{46ECFC31-388C-6241-8FFE-DED6F2FC794A}"/>
    <hyperlink ref="B190" r:id="rId151" xr:uid="{589E024D-3FE1-1048-890C-88289733F233}"/>
    <hyperlink ref="B191" r:id="rId152" xr:uid="{CDA28F7A-7FC5-F74D-B27E-A6E0161D41D5}"/>
    <hyperlink ref="B192" r:id="rId153" xr:uid="{DA6A0D92-DCEB-DA4F-8BBA-10FCD092838F}"/>
    <hyperlink ref="B193" r:id="rId154" xr:uid="{955769DB-3256-254B-90DE-E1E01B272F8A}"/>
    <hyperlink ref="B194" r:id="rId155" xr:uid="{DED7AC9B-40D7-0545-9D6F-6CD4F5FFE4C6}"/>
    <hyperlink ref="B195" r:id="rId156" xr:uid="{6947A4E1-B6AA-6D4F-A6D8-8FA74FD02887}"/>
    <hyperlink ref="B196" r:id="rId157" xr:uid="{EABF2012-5A90-0C4E-86F6-FDB5FA7770BE}"/>
    <hyperlink ref="B214" r:id="rId158" xr:uid="{7F44CFE0-9ED1-A44D-B9EF-CF87BEB644FC}"/>
    <hyperlink ref="B216" r:id="rId159" xr:uid="{CF6E0CF6-7A93-D84A-9CE0-5BDD51767416}"/>
    <hyperlink ref="B218" r:id="rId160" xr:uid="{EFF8F154-60B8-B84B-84CA-32756BD6430F}"/>
    <hyperlink ref="B220" r:id="rId161" xr:uid="{C8A3094E-E11B-2543-B05E-1D07048B2EBA}"/>
    <hyperlink ref="B221" r:id="rId162" xr:uid="{9961E5F5-B5C6-0C4D-A1D0-D04D2A5D7DFD}"/>
    <hyperlink ref="B222" r:id="rId163" xr:uid="{44E289EC-47DD-D94D-88C1-CB2F59C6C16A}"/>
    <hyperlink ref="B223" r:id="rId164" xr:uid="{4161FC70-DD6D-684B-898A-A4711596B2D5}"/>
    <hyperlink ref="B224" r:id="rId165" xr:uid="{B9CBE387-8E9A-ED48-8310-CF7D34FA690C}"/>
    <hyperlink ref="B227" r:id="rId166" xr:uid="{5398097B-24FF-9543-8F02-33CE2860F1F7}"/>
    <hyperlink ref="B228" r:id="rId167" xr:uid="{3B1FC30B-30C8-7B48-AF94-A81FB513F24F}"/>
    <hyperlink ref="B229" r:id="rId168" xr:uid="{32B750D0-D7F2-694D-AB9B-25AFAFAFF17F}"/>
    <hyperlink ref="B230" r:id="rId169" xr:uid="{400689DD-8E95-024E-976B-AACD8ED4E1A6}"/>
    <hyperlink ref="B231" r:id="rId170" xr:uid="{28753DDE-E047-5D40-A30B-1103BE6DA08F}"/>
    <hyperlink ref="B232" r:id="rId171" xr:uid="{6C5AA6CB-3D93-0740-AEED-9E6C218CF6CB}"/>
    <hyperlink ref="B233" r:id="rId172" xr:uid="{03EAA2B9-D8B8-D642-BF24-380596D26B2E}"/>
    <hyperlink ref="B234" r:id="rId173" xr:uid="{8C1719B4-37CC-484E-BDCE-A4272C07F91B}"/>
    <hyperlink ref="B235" r:id="rId174" xr:uid="{6C198DA2-BB98-F940-8EF6-2FC8B7AE577A}"/>
    <hyperlink ref="B236" r:id="rId175" xr:uid="{AB0EA311-A446-D046-A0EC-290B42068328}"/>
    <hyperlink ref="B237" r:id="rId176" xr:uid="{DB913045-B9F6-6549-AA09-22B0CC5FDD21}"/>
    <hyperlink ref="B238" r:id="rId177" xr:uid="{806469FD-617A-7445-AAB5-FB2FD2ED24EA}"/>
    <hyperlink ref="B239" r:id="rId178" location=":~:text=Given%20the%20array%20representation%20of,it%20into%20Binary%20Search%20Tree.&amp;text=Swap%201%3A%20Swap%20node%208,node%209%20with%20node%2010." xr:uid="{1A10544E-58CF-D04D-9FAF-2FEC6DB2B5D4}"/>
    <hyperlink ref="B240" r:id="rId179" xr:uid="{5A0B6645-89FD-E044-A706-9FB890274C3C}"/>
    <hyperlink ref="B241" r:id="rId180" xr:uid="{B42A3009-E8EB-EE44-885F-6699C17A0E0B}"/>
    <hyperlink ref="B242" r:id="rId181" xr:uid="{ED3E48AB-E25B-3744-B024-E97B2A319B46}"/>
    <hyperlink ref="B243" r:id="rId182" xr:uid="{C75D20A3-CBAE-2649-A3EE-E49177CFA343}"/>
    <hyperlink ref="B244" r:id="rId183" xr:uid="{3863CA1B-D43E-1144-91A9-17C2DCF52A64}"/>
    <hyperlink ref="B245" r:id="rId184" location=":~:text=Since%20the%20graph%20is%20undirected,graph%20is%20connected%2C%20otherwise%20not." xr:uid="{E9AF434E-4CAA-5D49-8AD3-889CDE2913D9}"/>
    <hyperlink ref="B246" r:id="rId185" xr:uid="{1A0568E5-3A11-7F47-8001-82B05D7C2339}"/>
    <hyperlink ref="B247" r:id="rId186" xr:uid="{F62B8AE4-9C4F-9544-8861-CD733C12F79E}"/>
    <hyperlink ref="B248" r:id="rId187" xr:uid="{0F6A542C-44C9-5A4C-90BF-BC8C239877D2}"/>
    <hyperlink ref="B249" r:id="rId188" xr:uid="{3ED28203-B1B5-4E46-AAF3-779EDD4AC03F}"/>
    <hyperlink ref="B250" r:id="rId189" xr:uid="{4338B305-B52F-5540-9B51-B938FC6803A2}"/>
    <hyperlink ref="B251" r:id="rId190" xr:uid="{DDEEED0F-A939-1E4F-B2FA-AD391A4A2874}"/>
    <hyperlink ref="B252" r:id="rId191" xr:uid="{C2F20589-AD81-654C-94E5-E5B6C9FE27F6}"/>
    <hyperlink ref="B253" r:id="rId192" xr:uid="{BBEB9DAC-E4AE-C04F-AA15-6356AFC57FDE}"/>
    <hyperlink ref="B256" r:id="rId193" xr:uid="{6316566D-A10A-F849-9F25-B9ED4DA12BC7}"/>
    <hyperlink ref="B257" r:id="rId194" xr:uid="{9D4DD895-FBA6-C849-A5BF-3B30755BD9C9}"/>
    <hyperlink ref="B258" r:id="rId195" xr:uid="{475996DA-632A-BE49-AEA1-D4189FD614A1}"/>
    <hyperlink ref="B259" r:id="rId196" xr:uid="{88E0C858-8468-884F-BB71-F6F176BD5FC2}"/>
    <hyperlink ref="B260" r:id="rId197" xr:uid="{C1C5C8D0-7A06-3D4A-A85A-AAACC1B418C9}"/>
    <hyperlink ref="B261" r:id="rId198" xr:uid="{D525D4B1-2857-1543-8CD9-196728321203}"/>
    <hyperlink ref="B262" r:id="rId199" xr:uid="{51E3AB9B-04B2-C041-A2B3-37E3EB18013A}"/>
    <hyperlink ref="B263" r:id="rId200" xr:uid="{7F7F0C9A-57B9-314F-959A-B8ACAFA5FD13}"/>
    <hyperlink ref="B264" r:id="rId201" xr:uid="{3B029785-83B4-6140-8B70-CD892CFC87F6}"/>
    <hyperlink ref="B265" r:id="rId202" xr:uid="{B0A390E6-D860-9F4E-B021-68949FE712F3}"/>
    <hyperlink ref="B266" r:id="rId203" xr:uid="{49E9953D-52F6-BF47-8AAA-8E456F55576B}"/>
    <hyperlink ref="B267" r:id="rId204" xr:uid="{9B812470-F419-A54E-8365-06A9B8864A30}"/>
    <hyperlink ref="B268" r:id="rId205" xr:uid="{B6FB4107-1933-6D45-9EF4-4474E06CBE9D}"/>
    <hyperlink ref="B269" r:id="rId206" xr:uid="{0F7C1D92-7BCB-D14D-A658-9599984E04E4}"/>
    <hyperlink ref="B270" r:id="rId207" xr:uid="{6810428F-0A78-964C-A8C8-E1CD2E7C405D}"/>
    <hyperlink ref="B271" r:id="rId208" xr:uid="{B40209F2-0D6E-364F-8AF6-F1D182509314}"/>
    <hyperlink ref="B272" r:id="rId209" xr:uid="{96C53FA9-9FD3-2D4F-B292-3C9DEDFA806E}"/>
    <hyperlink ref="B273" r:id="rId210" xr:uid="{918B420D-3678-FD46-9463-595E8ACC39E1}"/>
    <hyperlink ref="B274" r:id="rId211" xr:uid="{851A7153-3B54-0E4A-A0A0-FCEB091AFE70}"/>
    <hyperlink ref="B275" r:id="rId212" xr:uid="{C03AE9F8-09AE-C640-81A7-033BB06FB6AD}"/>
    <hyperlink ref="B276" r:id="rId213" xr:uid="{35140DEB-52D2-4342-88D2-22BA061E5B48}"/>
    <hyperlink ref="B277" r:id="rId214" xr:uid="{9714BC0B-3373-934C-B7A1-599F74F4FB9D}"/>
    <hyperlink ref="B283" r:id="rId215" xr:uid="{5CB435B2-7FD2-1D44-9872-22B6A1EDC02B}"/>
    <hyperlink ref="B284" r:id="rId216" xr:uid="{722D1D95-896B-4642-BABD-31DEDD237B49}"/>
    <hyperlink ref="B285" r:id="rId217" xr:uid="{D686D1DC-13D6-284C-B606-E087FAF47399}"/>
    <hyperlink ref="B286" r:id="rId218" xr:uid="{D22C2394-C3CB-8F4F-A010-2B13C8C84D1A}"/>
    <hyperlink ref="B287" r:id="rId219" xr:uid="{3AE2F800-B66F-1A41-893B-978F6875FDC8}"/>
    <hyperlink ref="B288" r:id="rId220" xr:uid="{2C939BDE-5298-5541-837B-8C59D53A33C1}"/>
    <hyperlink ref="B289" r:id="rId221" xr:uid="{691C9BD8-69D3-DA4B-AEB6-AF827B4ACA9F}"/>
    <hyperlink ref="B290" r:id="rId222" xr:uid="{B6891E82-7C4D-424D-9219-3C9FD08E0053}"/>
    <hyperlink ref="B291" r:id="rId223" xr:uid="{67A1AE98-62D2-644D-AC13-6CD76CF53CC0}"/>
    <hyperlink ref="B292" r:id="rId224" xr:uid="{B59D4881-2A82-8F4D-B151-1E796C4923C8}"/>
    <hyperlink ref="B293" r:id="rId225" xr:uid="{B3CBD023-5EFD-6048-9B3F-89F0C65CBBF5}"/>
    <hyperlink ref="B294" r:id="rId226" xr:uid="{53EC42C4-22F7-0445-A0AC-7275A59A2672}"/>
    <hyperlink ref="B295" r:id="rId227" xr:uid="{A29575F3-CB24-5B4B-9538-D5212B2DC28B}"/>
    <hyperlink ref="B296" r:id="rId228" xr:uid="{353A44DD-9E30-8F48-8E2B-8DAA07550470}"/>
    <hyperlink ref="B297" r:id="rId229" xr:uid="{32AC291D-95A5-BE49-88E0-02677BF39CAC}"/>
    <hyperlink ref="B298" r:id="rId230" xr:uid="{A84F22FF-AD10-A546-8998-B066C0EB2D5A}"/>
    <hyperlink ref="B299" r:id="rId231" xr:uid="{4C5CAF84-9B94-FC44-8C6C-B3CC7257C1DB}"/>
    <hyperlink ref="B300" r:id="rId232" xr:uid="{5DA775E2-C516-3B47-8C82-3CEE7CC0BDF9}"/>
    <hyperlink ref="B301" r:id="rId233" xr:uid="{00B6AE5C-EF3F-0747-A280-3BF055362B4F}"/>
    <hyperlink ref="B302" r:id="rId234" location=":~:text=It%20consists%20of%20two%20steps,result%20to%20the%20sum%20S." xr:uid="{BCBD0A7E-F3D0-E840-9375-AFD37C5CD41A}"/>
    <hyperlink ref="B303" r:id="rId235" xr:uid="{47ABDDDB-F95F-8049-9FB3-1E71A7376DDE}"/>
    <hyperlink ref="B304" r:id="rId236" xr:uid="{70BADFC9-7399-234D-99F6-4C5F02397C26}"/>
    <hyperlink ref="B305" r:id="rId237" xr:uid="{63348580-70EF-EC47-BF49-8ECE9560D54E}"/>
    <hyperlink ref="B306" r:id="rId238" xr:uid="{D5BD96B3-9EAB-1B47-AC87-5C47F6AD7F40}"/>
    <hyperlink ref="B307" r:id="rId239" xr:uid="{74791141-3FB8-7540-B45B-9541AF0AE371}"/>
    <hyperlink ref="B308" r:id="rId240" xr:uid="{88D53CD6-262A-7247-8E58-FE9FFF7ECC40}"/>
    <hyperlink ref="B309" r:id="rId241" xr:uid="{4338A14D-4F7D-B943-A347-7F74EFCA0DB5}"/>
    <hyperlink ref="B310" r:id="rId242" xr:uid="{6E0EF7A3-7341-284B-A0E3-4539B6EAFAF2}"/>
    <hyperlink ref="B311" r:id="rId243" xr:uid="{D2D8D64F-E2D3-734E-AD45-3EFB9686555A}"/>
    <hyperlink ref="B312" r:id="rId244" xr:uid="{04A2904A-73A0-7845-9868-2CCFE359AC68}"/>
    <hyperlink ref="B313" r:id="rId245" xr:uid="{D3D35835-6BE3-4D41-AF6F-5FE442277A16}"/>
    <hyperlink ref="B314" r:id="rId246" xr:uid="{F663D0FC-CFF0-BC4F-9D26-48C871A8E9FD}"/>
    <hyperlink ref="B315" r:id="rId247" xr:uid="{DF544147-DA48-4041-A4E2-4A75106B771A}"/>
    <hyperlink ref="B316" r:id="rId248" xr:uid="{50E4B716-239E-7946-843D-E8462591D128}"/>
    <hyperlink ref="B317" r:id="rId249" xr:uid="{D368B3E5-7D12-FD48-AFF7-A4A614108940}"/>
    <hyperlink ref="B334" r:id="rId250" xr:uid="{D5921FF1-FC1F-CA4B-A24E-AD69E1DEC14C}"/>
    <hyperlink ref="B335" r:id="rId251" xr:uid="{C931D7E0-E032-7C4B-95F1-735D955FCB51}"/>
    <hyperlink ref="B336" r:id="rId252" xr:uid="{5FBD4A8F-287C-2C46-9CAB-F7DBA67DEDDA}"/>
    <hyperlink ref="B337" r:id="rId253" xr:uid="{12966DD6-41DD-A94B-8B2C-0AD7D2AD6FB0}"/>
    <hyperlink ref="B338" r:id="rId254" xr:uid="{CF720C34-4554-2944-A818-020ABC9BF0F4}"/>
    <hyperlink ref="B339" r:id="rId255" xr:uid="{75763F2A-16D7-DE43-8189-19623CE26370}"/>
    <hyperlink ref="B340" r:id="rId256" display="Print all palindromic partitions of a string" xr:uid="{9263AA30-472A-0A4D-BADF-96D82BB9BFCC}"/>
    <hyperlink ref="B342" r:id="rId257" display="Subset Sum Problem" xr:uid="{2EF025C3-75C8-564E-BA8B-708C32B0E602}"/>
    <hyperlink ref="B343" r:id="rId258" xr:uid="{6BDFDCA9-3421-F24F-8EF2-A72742F0AC21}"/>
    <hyperlink ref="B344" r:id="rId259" xr:uid="{D8447F99-5FF9-D544-99BB-E9969B4A38D7}"/>
    <hyperlink ref="B345" r:id="rId260" xr:uid="{1DB7EFDA-6C7D-F546-9EE1-F61ED0F65209}"/>
    <hyperlink ref="B346" r:id="rId261" xr:uid="{D1505609-27D1-784D-ACF6-AE9D0DA2E1B6}"/>
    <hyperlink ref="B347" r:id="rId262" xr:uid="{6BFA7B45-17D0-4E49-85DA-23C7255A306D}"/>
    <hyperlink ref="B348" r:id="rId263" display="Print all permutations of a string " xr:uid="{3324BA4A-30CA-5246-8C3C-6505A6987939}"/>
    <hyperlink ref="B349" r:id="rId264" xr:uid="{894486AD-2B6D-5740-BCAF-0BA1AFF814B4}"/>
    <hyperlink ref="B350" r:id="rId265" xr:uid="{C47B203B-8B5A-E740-8C86-0784AD28089E}"/>
    <hyperlink ref="B351" r:id="rId266" xr:uid="{06DC2E54-7597-AE4D-ACDB-B8883A989A4F}"/>
    <hyperlink ref="B352" r:id="rId267" xr:uid="{E3384259-7CA7-1C44-A66D-11346EE6742E}"/>
    <hyperlink ref="B353" r:id="rId268" xr:uid="{A5B77769-38AF-3D47-A76B-311591B57D91}"/>
    <hyperlink ref="B356" r:id="rId269" xr:uid="{9DB6976A-C646-1341-90E8-3A164521267A}"/>
    <hyperlink ref="B357" r:id="rId270" xr:uid="{03C291F8-D19A-304B-9EF9-CF71A1F66E49}"/>
    <hyperlink ref="B358" r:id="rId271" xr:uid="{7536415C-140B-9244-B0B2-23F3ED0B2D80}"/>
    <hyperlink ref="B359" r:id="rId272" xr:uid="{7DBDA456-8AF6-DD43-9764-17D3959B8E8F}"/>
    <hyperlink ref="B360" r:id="rId273" xr:uid="{BFC149AB-C15A-B648-9F6A-ECD3890B1918}"/>
    <hyperlink ref="B361" r:id="rId274" xr:uid="{0482240B-FEE9-F746-8980-52BCB7BBB56E}"/>
    <hyperlink ref="B362" r:id="rId275" xr:uid="{86D1231A-E7C8-4B45-99ED-2DB0EF71E190}"/>
    <hyperlink ref="B363" r:id="rId276" xr:uid="{20B7CE89-CB37-0040-989F-C8D1BE2B8782}"/>
    <hyperlink ref="B364" r:id="rId277" xr:uid="{4C8412C9-A47B-9244-A18B-741516BD1054}"/>
    <hyperlink ref="B365" r:id="rId278" xr:uid="{511761D9-31CE-0B43-AFFD-C011C27ACC52}"/>
    <hyperlink ref="B366" r:id="rId279" location=":~:text=The%20stack%20organization%20is%20very,i.e.%2C%20A%20%2B%20B)." xr:uid="{6905F997-D048-1049-BA27-C48756603D1E}"/>
    <hyperlink ref="B367" r:id="rId280" xr:uid="{E657AA82-7CFE-DB42-B20F-F63D8C25EAB6}"/>
    <hyperlink ref="B368" r:id="rId281" xr:uid="{3E505033-58F3-8F4E-AB82-E12DBC226AEA}"/>
    <hyperlink ref="B369" r:id="rId282" xr:uid="{749599E5-4972-7343-B13B-87E26F837470}"/>
    <hyperlink ref="B370" r:id="rId283" xr:uid="{12AA88DC-22AB-5A49-B28C-F04C8E35A215}"/>
    <hyperlink ref="B371" r:id="rId284" xr:uid="{5751F0A7-7D9D-4148-820B-5B9659DFE34F}"/>
    <hyperlink ref="B372" r:id="rId285" xr:uid="{4CA2DBEE-B161-B84D-B3A9-B8BC1B598AF2}"/>
    <hyperlink ref="B373" r:id="rId286" xr:uid="{A9C1E578-6594-954C-8785-8902E605FC7A}"/>
    <hyperlink ref="B374" r:id="rId287" xr:uid="{3D45E9B8-6671-A747-8C18-51CF8883170A}"/>
    <hyperlink ref="B375" r:id="rId288" xr:uid="{4F5EF748-8CD4-0F47-90CE-3C93755BF63D}"/>
    <hyperlink ref="B376" r:id="rId289" xr:uid="{44053C08-5050-C84B-B016-069B1EF9A43D}"/>
    <hyperlink ref="B377" r:id="rId290" xr:uid="{ABF38928-736B-1A49-8B8A-1DCA5AAECB2B}"/>
    <hyperlink ref="B378" r:id="rId291" xr:uid="{52651FAF-F3DC-E949-8AF8-998B9724B7D1}"/>
    <hyperlink ref="B379" r:id="rId292" xr:uid="{91C6CCEF-3FF7-2C42-B5A0-8F4A403ED198}"/>
    <hyperlink ref="B380" r:id="rId293" xr:uid="{15C8AF08-1A79-F949-9BE7-DD240CBD9861}"/>
    <hyperlink ref="B381" r:id="rId294" xr:uid="{1904F984-5B22-8D46-BC33-3073B390E8F9}"/>
    <hyperlink ref="B382" r:id="rId295" xr:uid="{A8BFB3A4-426B-E646-BCF0-FE19C8CD07A9}"/>
    <hyperlink ref="B383" r:id="rId296" xr:uid="{FBBA29BB-885B-744A-A644-58EDCA7B140A}"/>
    <hyperlink ref="B384" r:id="rId297" xr:uid="{75411687-6884-AC42-8B4A-1348C4837365}"/>
    <hyperlink ref="B385" r:id="rId298" xr:uid="{A89ED8DF-F678-FE43-808C-C190721379BF}"/>
    <hyperlink ref="B386" r:id="rId299" xr:uid="{1516834D-F3B2-1743-8811-263E11BBDEF8}"/>
    <hyperlink ref="B387" r:id="rId300" xr:uid="{1659AB91-08CA-E44D-988D-E9D9A746D406}"/>
    <hyperlink ref="B388" r:id="rId301" xr:uid="{E844BC1D-9713-9F4D-B0A4-1124A9952D14}"/>
    <hyperlink ref="B389" r:id="rId302" xr:uid="{DCE2AAEF-8D8E-1843-BFE9-E9B7E13854EB}"/>
    <hyperlink ref="B390" r:id="rId303" xr:uid="{836B3BF0-7711-7D41-9E72-914C1871397F}"/>
    <hyperlink ref="B391" r:id="rId304" xr:uid="{F450CF9B-CA59-1443-8163-13F1121DCF12}"/>
    <hyperlink ref="B392" r:id="rId305" xr:uid="{1539C3E8-4854-3C4F-A7B3-55BF931F1E2A}"/>
    <hyperlink ref="B393" r:id="rId306" xr:uid="{04F1FC5F-5DA1-0144-962D-B38C1C41F0F4}"/>
    <hyperlink ref="B408" r:id="rId307" xr:uid="{B21618F4-70E2-C549-80B7-7CF915679E0A}"/>
    <hyperlink ref="B409" r:id="rId308" xr:uid="{EEDFBF11-C1E4-0847-9D56-94A72D97AEE7}"/>
    <hyperlink ref="B410" r:id="rId309" xr:uid="{F5C0EDF1-7EAC-8849-8D27-C3389913BFC6}"/>
    <hyperlink ref="B411" r:id="rId310" xr:uid="{50175B29-124F-4E4E-8E98-961BD3320359}"/>
    <hyperlink ref="B412" r:id="rId311" xr:uid="{1BE23822-8512-014F-9154-F6EDA4FC8428}"/>
    <hyperlink ref="B413" r:id="rId312" xr:uid="{38EC228E-ABFF-3542-9CFB-3DDFC628E9D0}"/>
    <hyperlink ref="B414" r:id="rId313" xr:uid="{73F240F8-C469-454E-BA5C-CFF2F7A7A5F6}"/>
    <hyperlink ref="B415" r:id="rId314" xr:uid="{3BBD1BAC-68C7-A94A-9063-AF62B5C837FD}"/>
    <hyperlink ref="B416" r:id="rId315" xr:uid="{F9751D9B-2689-E24B-9FC3-CA32FE888708}"/>
    <hyperlink ref="B417" r:id="rId316" xr:uid="{73C61D6A-D97C-B944-8B27-BB91564AB0D7}"/>
    <hyperlink ref="B418" r:id="rId317" xr:uid="{936E077C-C016-A04F-895A-782D6D9D9433}"/>
    <hyperlink ref="B419" r:id="rId318" xr:uid="{5454A2A1-6607-BE48-9215-CB8965EC3568}"/>
    <hyperlink ref="B420" r:id="rId319" xr:uid="{FC1EAA10-F7ED-6B42-A79B-3D8B44E2C8B3}"/>
    <hyperlink ref="B421" r:id="rId320" xr:uid="{FDB7F712-4A42-1048-8929-A1E752B07C6A}"/>
    <hyperlink ref="B422" r:id="rId321" xr:uid="{AF3ACA60-0B0E-E146-B51F-A2CD05EB6549}"/>
    <hyperlink ref="B423" r:id="rId322" xr:uid="{BB63E040-7A1A-E046-9BDD-9CBD1DA89DE9}"/>
    <hyperlink ref="B424" r:id="rId323" xr:uid="{9AF8FD93-CCC9-D540-AE9A-00583F309649}"/>
    <hyperlink ref="B425" r:id="rId324" xr:uid="{66A746A0-71FE-E546-92B7-D1C3D582E067}"/>
    <hyperlink ref="B430" r:id="rId325" xr:uid="{BD79CCE1-5315-3944-9F9B-618615EC4583}"/>
    <hyperlink ref="B431" r:id="rId326" xr:uid="{A5068A51-C961-6847-BB27-40A850B6D393}"/>
    <hyperlink ref="B432" r:id="rId327" xr:uid="{6B8D36F0-E796-B944-A456-E8A9E2EE0BDB}"/>
    <hyperlink ref="B433" r:id="rId328" xr:uid="{776652B7-2C11-4641-BF6A-EABEEB9B55AB}"/>
    <hyperlink ref="B434" r:id="rId329" xr:uid="{95C6B35D-712A-2343-B790-236B55C5EC49}"/>
    <hyperlink ref="B435" r:id="rId330" xr:uid="{4ED53872-1FE9-F140-AA35-F228F762880B}"/>
    <hyperlink ref="B436" r:id="rId331" xr:uid="{6D5E6A28-85AA-BF4C-B2BD-9378D6E28EC7}"/>
    <hyperlink ref="B437" r:id="rId332" xr:uid="{BCAD1ECB-15EE-CF49-878E-AA682DE3AC22}"/>
    <hyperlink ref="B438" r:id="rId333" xr:uid="{C85468B5-25E9-E446-808E-72CFE911F0C2}"/>
    <hyperlink ref="B439" r:id="rId334" xr:uid="{9503AECA-1A6A-9640-A04C-4CEAA2304448}"/>
    <hyperlink ref="B440" r:id="rId335" xr:uid="{74211516-06B0-AA45-845B-52C8202751DA}"/>
    <hyperlink ref="B441" r:id="rId336" xr:uid="{02C696BC-4B91-9444-900F-9CD68E409ABC}"/>
    <hyperlink ref="B442" r:id="rId337" xr:uid="{04646C45-4118-374C-839D-94D31D534FAC}"/>
    <hyperlink ref="B443" r:id="rId338" xr:uid="{F90BCCAE-8596-FC4D-BDD7-774392C596DF}"/>
    <hyperlink ref="B444" r:id="rId339" xr:uid="{65230925-36EC-8A4B-8E46-6350B9BC0F95}"/>
    <hyperlink ref="B445" r:id="rId340" xr:uid="{E91B8177-0C7A-1F40-BD34-4CC60F03B84F}"/>
    <hyperlink ref="B446" r:id="rId341" xr:uid="{E8CBFD60-7335-0B4D-9FF5-99B4A8DC551D}"/>
    <hyperlink ref="B447" r:id="rId342" xr:uid="{A35F55D4-9B87-C745-94DB-E7D820193C30}"/>
    <hyperlink ref="B448" r:id="rId343" xr:uid="{6461A29F-D404-334F-B13F-296B4CA5E8A4}"/>
    <hyperlink ref="B449" r:id="rId344" xr:uid="{FA9B4BE7-85CC-B24F-9461-5E9B42DDD824}"/>
    <hyperlink ref="B450" r:id="rId345" xr:uid="{A75ACEA2-CDF6-A147-8540-A6DF55B15F45}"/>
    <hyperlink ref="B451" r:id="rId346" xr:uid="{62FF87E2-E658-AB4D-AC57-7BCF9D49516E}"/>
    <hyperlink ref="B452" r:id="rId347" location=":~:text=Graph%20coloring%20problem%20is%20to,are%20colored%20using%20same%20color." xr:uid="{269338A6-5145-6944-9F7F-BD2A86DFA308}"/>
    <hyperlink ref="B453" r:id="rId348" xr:uid="{8F583049-CE8D-CD42-88CD-CF3857942670}"/>
    <hyperlink ref="B454" r:id="rId349" xr:uid="{EE2348AD-E296-894A-B5AE-5884A3C5E419}"/>
    <hyperlink ref="B455" r:id="rId350" xr:uid="{6EACB34E-B32E-8F43-8055-2406F7417A7E}"/>
    <hyperlink ref="B456" r:id="rId351" xr:uid="{2446F10A-B762-B64C-97B2-6131A0BECC1F}"/>
    <hyperlink ref="B457" r:id="rId352" xr:uid="{6FDFCC53-17A6-7244-88A7-49406D7C9200}"/>
    <hyperlink ref="B458" r:id="rId353" xr:uid="{3EC43646-EAB1-E443-A2F6-8E6E5FC77083}"/>
    <hyperlink ref="B459" r:id="rId354" xr:uid="{659D9F20-C862-C947-B422-84143CFE317F}"/>
    <hyperlink ref="B460" r:id="rId355" xr:uid="{3F5192FE-1C50-C049-88D5-68FA0F5430A0}"/>
    <hyperlink ref="B461" r:id="rId356" xr:uid="{5EAD7CDA-9545-454B-BE77-9AFEC6AC1083}"/>
    <hyperlink ref="B462" r:id="rId357" xr:uid="{761E5451-736B-6745-9CF5-4C6EF5D4C099}"/>
    <hyperlink ref="B463" r:id="rId358" xr:uid="{4C8677A9-D94C-134F-AF31-E424751BF867}"/>
    <hyperlink ref="B464" r:id="rId359" xr:uid="{CCF7920F-D5CE-004A-86C3-D821FB230970}"/>
    <hyperlink ref="B465" r:id="rId360" xr:uid="{B4C07A0A-1EDD-7947-9646-3FD603441AD7}"/>
    <hyperlink ref="B466" r:id="rId361" xr:uid="{49F7BB43-6851-0641-9DC5-27DBC66706F6}"/>
    <hyperlink ref="B467" r:id="rId362" xr:uid="{77038647-48C7-5547-8E0F-898610362465}"/>
    <hyperlink ref="B469" r:id="rId363" xr:uid="{EEFFE19C-6571-C64F-A0E1-5A4A700D94D4}"/>
    <hyperlink ref="B468" r:id="rId364" xr:uid="{A4A2BFC4-6B88-2E4E-B362-17D8EE041C89}"/>
    <hyperlink ref="B470" r:id="rId365" xr:uid="{DC5B603A-8D65-3648-A08A-E5FFA0FAE879}"/>
    <hyperlink ref="B471" r:id="rId366" xr:uid="{F8807DD9-F4F2-B147-9C31-DBC93B2E477B}"/>
    <hyperlink ref="B472" r:id="rId367" xr:uid="{6F7B396C-D7E9-C04E-BAE2-53D2EE07172B}"/>
    <hyperlink ref="B482" r:id="rId368" display="Construct a trie from scratch" xr:uid="{0D4A5941-C669-4A49-BAE3-9B553D03BD0F}"/>
    <hyperlink ref="B483" r:id="rId369" xr:uid="{54144336-5BCA-D749-962A-E448C2CED3D3}"/>
    <hyperlink ref="B484" r:id="rId370" xr:uid="{3A41DD21-CACF-1F48-A7C7-F568C6F31F3E}"/>
    <hyperlink ref="B485" r:id="rId371" xr:uid="{A36160A8-F45E-3443-9645-42C1004B8F8C}"/>
    <hyperlink ref="B486" r:id="rId372" xr:uid="{8B0A00A3-6AC0-DF46-AD87-A4DA016A2A00}"/>
    <hyperlink ref="B487" r:id="rId373" xr:uid="{62A81CB4-A961-C543-B31C-92059DB6C105}"/>
    <hyperlink ref="B503" r:id="rId374" xr:uid="{08030975-009C-C34A-A875-72FE2718F44C}"/>
    <hyperlink ref="B504" r:id="rId375" xr:uid="{A113C7A9-2359-B643-9C08-E845813439C0}"/>
    <hyperlink ref="B505" r:id="rId376" xr:uid="{FE300343-4633-AD47-A64D-2086629EB398}"/>
    <hyperlink ref="B506" r:id="rId377" xr:uid="{4FC9F782-D38F-C642-A863-887B17AD05CD}"/>
    <hyperlink ref="B507" r:id="rId378" xr:uid="{830C5466-10E3-7A48-B3E7-35C15A1CA4EF}"/>
    <hyperlink ref="B508" r:id="rId379" xr:uid="{1B987077-E9D3-6F40-89EE-0D4E7180D884}"/>
    <hyperlink ref="B509" r:id="rId380" xr:uid="{D4843E1F-7226-864E-A4BB-264D5A487B6D}"/>
    <hyperlink ref="B511" r:id="rId381" xr:uid="{61816592-2D19-9946-8253-47A60218F2EA}"/>
    <hyperlink ref="B517" r:id="rId382" xr:uid="{736C840F-19A3-0A4B-8863-ECB772B46385}"/>
    <hyperlink ref="B518" r:id="rId383" xr:uid="{05A238AD-3C5B-C546-94E9-75BBF964711A}"/>
    <hyperlink ref="B519" r:id="rId384" xr:uid="{7029629C-3F2A-4A49-997B-CFE86EC8B3C2}"/>
    <hyperlink ref="B520" r:id="rId385" xr:uid="{ADA66B57-2FAC-AB42-BD83-4931708F3AB5}"/>
    <hyperlink ref="B521" r:id="rId386" xr:uid="{F16BF1F9-755B-B045-B9A8-0B97E3BAC8B0}"/>
    <hyperlink ref="B522" r:id="rId387" xr:uid="{ECCE930A-B960-234C-81EC-4B8514282AE9}"/>
    <hyperlink ref="B525" r:id="rId388" xr:uid="{7AA58141-7D24-7C42-A0C1-F852B21CFFD9}"/>
    <hyperlink ref="B527" r:id="rId389" xr:uid="{B1FCB47D-7921-3446-B2C7-72CBA815D056}"/>
    <hyperlink ref="B528" r:id="rId390" xr:uid="{8C547719-AA03-3543-B31F-7300674AF4C5}"/>
    <hyperlink ref="B529" r:id="rId391" xr:uid="{09922668-AFC0-F242-860E-9967E0F0FEF4}"/>
    <hyperlink ref="B530" r:id="rId392" xr:uid="{0DA963DA-238B-D44E-9E03-6E6BD933B35E}"/>
    <hyperlink ref="B531" r:id="rId393" xr:uid="{89518AFF-2526-C845-BC9D-95FE77AF416E}"/>
    <hyperlink ref="B532" r:id="rId394" xr:uid="{FAECBBBE-196C-7A41-A0FB-E0597CB2CF51}"/>
    <hyperlink ref="B533" r:id="rId395" xr:uid="{8126B039-0B25-B040-A0F6-C3457341A2E9}"/>
    <hyperlink ref="B536" r:id="rId396" xr:uid="{6CB326E6-E698-EB42-884B-C89FFA33E3BA}"/>
    <hyperlink ref="B537" r:id="rId397" xr:uid="{8C97EFD1-933F-A44F-A1CF-6386233104A2}"/>
    <hyperlink ref="B538" r:id="rId398" xr:uid="{8F019F07-8532-E147-8BE1-4EBE833F61CA}"/>
    <hyperlink ref="B539" r:id="rId399" xr:uid="{00F1A08F-3767-784A-97A3-4603DE38BACC}"/>
    <hyperlink ref="B540" r:id="rId400" xr:uid="{2A84ADCB-071F-9A48-994D-7A838307EFD8}"/>
    <hyperlink ref="B541" r:id="rId401" xr:uid="{132F8C6D-D5E8-6440-AC4E-B81EA2100416}"/>
    <hyperlink ref="B542" r:id="rId402" xr:uid="{2DA6EAC2-1A1D-754F-9613-226CBC7890AF}"/>
    <hyperlink ref="B543" r:id="rId403" xr:uid="{05BED99A-4562-D14E-8627-D07CF5335A9B}"/>
    <hyperlink ref="B544" r:id="rId404" xr:uid="{111D902A-3F60-2D4B-89D3-5BCBD8AA38DD}"/>
    <hyperlink ref="B545" r:id="rId405" xr:uid="{F19236BE-AC32-3542-9214-DFC3BAE04ED0}"/>
    <hyperlink ref="B547" r:id="rId406" xr:uid="{4D97CD96-EA1B-664E-9380-EFD27077D273}"/>
    <hyperlink ref="B548" r:id="rId407" xr:uid="{49A46D91-633F-A148-ACFA-49B7D1AA4B33}"/>
    <hyperlink ref="B549" r:id="rId408" xr:uid="{7C3B7901-67E3-EA4D-BC64-21A78BC03AC6}"/>
    <hyperlink ref="B550" r:id="rId409" xr:uid="{B27CA8C3-D34F-5E4D-94A5-11D14AFD0F82}"/>
    <hyperlink ref="B551" r:id="rId410" xr:uid="{8FECE038-9764-5E4A-8C6E-9B3209812651}"/>
    <hyperlink ref="B552" r:id="rId411" xr:uid="{95696D4B-89CB-5640-BE92-53B3C043F7EB}"/>
    <hyperlink ref="B553" r:id="rId412" xr:uid="{DA74B737-802A-4944-A93E-0B9C8417630B}"/>
    <hyperlink ref="B554" r:id="rId413" xr:uid="{B2C4C168-50FA-AF41-8F56-9E70613CF17D}"/>
    <hyperlink ref="B556" r:id="rId414" display="Count All Palindromic Subsequence in a given String" xr:uid="{B7090C60-AC27-3F4F-8F0D-42F0791928C6}"/>
    <hyperlink ref="B555" r:id="rId415" xr:uid="{07400041-66C6-514B-B3E3-427F2947C2B7}"/>
    <hyperlink ref="B560" r:id="rId416" xr:uid="{B7E78172-8FB8-4E42-87D8-6A4654D79C62}"/>
    <hyperlink ref="B562" r:id="rId417" xr:uid="{9A5D4670-BC64-334A-88CF-6F8287692C5E}"/>
    <hyperlink ref="B563" r:id="rId418" xr:uid="{604283B6-53BC-044F-8D9D-E6094E798317}"/>
    <hyperlink ref="B564" r:id="rId419" xr:uid="{5EB15AC7-3E0E-E44C-A5B9-32F30F234B5A}"/>
    <hyperlink ref="B565" r:id="rId420" xr:uid="{3076BD5F-4B23-4146-A50A-499C9FF4C3D2}"/>
    <hyperlink ref="B566" r:id="rId421" xr:uid="{6A29D9C2-1E78-1B43-A251-0AB0A97FA70E}"/>
    <hyperlink ref="B567" r:id="rId422" xr:uid="{00597D5E-D693-DF4E-84C0-47E58A6ACA8F}"/>
    <hyperlink ref="B568" r:id="rId423" xr:uid="{48640988-9964-0B4C-A014-83E2CEB3D632}"/>
    <hyperlink ref="B569" r:id="rId424" xr:uid="{617AADC9-7534-FE45-96B0-EF4C1867B793}"/>
    <hyperlink ref="B570" r:id="rId425" xr:uid="{7F8CDAA4-5094-8E4E-961B-41CDE5ACC0C0}"/>
    <hyperlink ref="B571" r:id="rId426" xr:uid="{63F28ABD-12CF-5947-80DA-229E3CA3133E}"/>
    <hyperlink ref="B580" r:id="rId427" xr:uid="{0A1DB92C-3315-1942-B27D-4B90986A6D9D}"/>
    <hyperlink ref="B579" r:id="rId428" xr:uid="{11738B67-CADD-5D45-8417-8BE7A03FC79F}"/>
    <hyperlink ref="B578" r:id="rId429" xr:uid="{B2B23748-D9E4-BE4F-A93E-49ECB4063831}"/>
    <hyperlink ref="B576" r:id="rId430" xr:uid="{A2FB8A72-37B9-7E4A-B050-FD6CD20BCE73}"/>
    <hyperlink ref="B575" r:id="rId431" xr:uid="{5A93C9AF-BFEB-EB40-95AC-C309ED09A604}"/>
    <hyperlink ref="B574" r:id="rId432" xr:uid="{CC203923-2DC2-874B-B846-A8455E3CC2F2}"/>
    <hyperlink ref="B573" r:id="rId433" xr:uid="{FCB0246E-0179-B447-B3CE-C60CDB388472}"/>
    <hyperlink ref="B584" r:id="rId434" xr:uid="{F06CEE72-8CA4-C547-862C-39B86CD3226A}"/>
    <hyperlink ref="B585" r:id="rId435" xr:uid="{CB3045F2-8D63-0F4E-85BC-AF016DB4F247}"/>
    <hyperlink ref="B586" r:id="rId436" xr:uid="{667D57F5-E5AD-674F-A2F5-AFF4A14E4026}"/>
    <hyperlink ref="B587" r:id="rId437" xr:uid="{27A13A65-56CE-BF4D-BA0D-EB87D910272D}"/>
    <hyperlink ref="B588" r:id="rId438" xr:uid="{2C72A52E-6F06-0246-AEB5-93CD0DEA8866}"/>
    <hyperlink ref="B589" r:id="rId439" xr:uid="{24B29046-B4DD-674B-9EDF-6C94BEC3FDD8}"/>
    <hyperlink ref="B590" r:id="rId440" xr:uid="{D018EBC3-3FB3-AC4D-9D64-D218345A46C8}"/>
    <hyperlink ref="B593" r:id="rId441" xr:uid="{1E1D3964-01E0-3145-ACFE-B6A5BF0EECB0}"/>
    <hyperlink ref="B591" r:id="rId442" xr:uid="{FA0E5061-A7E2-C045-9671-1CD9446D1932}"/>
    <hyperlink ref="B592" r:id="rId443" location=":~:text=Given%20an%20integer%20n%2C%20calculate,*%2C%20%2F%20and%20pow().&amp;text=A%20Simple%20Solution%20is%20to%20repeatedly%20add%20n%20to%20result." xr:uid="{92704F5B-7B31-2F42-80DD-764B2206D9DB}"/>
    <hyperlink ref="B429" r:id="rId444" xr:uid="{A48B1A24-83B1-7A4C-8129-CD37804DF849}"/>
    <hyperlink ref="B329" r:id="rId445" xr:uid="{E53BE2F0-AC22-43D0-BD53-D61960B98828}"/>
    <hyperlink ref="B330" r:id="rId446" xr:uid="{E8F3B1B0-B6F1-4A92-B8C0-23AD6DE75C47}"/>
    <hyperlink ref="B326" r:id="rId447" xr:uid="{05D37F33-406F-4F93-A25C-A905369D9C0C}"/>
    <hyperlink ref="B324" r:id="rId448" xr:uid="{6EAC365B-70F1-4B65-8A5B-C50F8B553371}"/>
    <hyperlink ref="B332" r:id="rId449" xr:uid="{7FE6547E-0A9F-45C2-B56D-F257159EE50E}"/>
    <hyperlink ref="B331" r:id="rId450" xr:uid="{B1CDC9F4-B1E5-43E5-B6DC-6FAD971F94AE}"/>
    <hyperlink ref="B328" r:id="rId451" xr:uid="{4FBECC30-01EC-434D-AEDE-94C4F9056BF5}"/>
    <hyperlink ref="B490" r:id="rId452" xr:uid="{1EDA4193-29A4-46BF-89A2-F2BC29C9F0C0}"/>
    <hyperlink ref="B491" r:id="rId453" xr:uid="{344B9E2D-1679-418F-A694-A3926C319D5E}"/>
    <hyperlink ref="B492" r:id="rId454" xr:uid="{08BF6851-3952-4205-89C6-098BD03ACFE9}"/>
    <hyperlink ref="B217" r:id="rId455" xr:uid="{50EE62EE-5745-48D3-BFA2-A56A27D99214}"/>
    <hyperlink ref="B493" r:id="rId456" xr:uid="{069B6A3F-37A5-432E-8E3B-5796EA85B0D5}"/>
    <hyperlink ref="B494" r:id="rId457" xr:uid="{4A003CAF-E9D9-4066-BB9C-B0D7745C2590}"/>
    <hyperlink ref="B599" r:id="rId458" xr:uid="{6267FE5E-84B0-4919-A127-B6132A448C13}"/>
    <hyperlink ref="B600" r:id="rId459" xr:uid="{6FD7735F-947E-4C3C-A4F7-CC8015B951F7}"/>
    <hyperlink ref="B601" r:id="rId460" xr:uid="{11835747-CC00-4435-A7D2-15E71CB56C2E}"/>
    <hyperlink ref="B109" r:id="rId461" xr:uid="{6CAD03C6-4CF8-4609-A8CB-94588CF0601E}"/>
    <hyperlink ref="B404" r:id="rId462" xr:uid="{A9F9A6B2-4A7A-4EA9-98C3-64EB83456E30}"/>
    <hyperlink ref="B602" r:id="rId463" xr:uid="{6CBBE9B2-B38F-46D8-B4ED-8222A1206E1F}"/>
    <hyperlink ref="B603" r:id="rId464" xr:uid="{D8A7A526-91A5-4590-84D6-2AFA791B5E1D}"/>
    <hyperlink ref="B155" r:id="rId465" xr:uid="{10F7B7EF-A77E-4D04-9927-9E8B6B48C368}"/>
    <hyperlink ref="B156" r:id="rId466" xr:uid="{5C051B0F-E90B-4812-B33B-39FB86914E36}"/>
    <hyperlink ref="B158" r:id="rId467" xr:uid="{07C00C5F-3F41-4175-913B-AB276CE52658}"/>
    <hyperlink ref="B495" r:id="rId468" xr:uid="{66CC3629-2FD8-49F5-931C-CA5F2885B18C}"/>
    <hyperlink ref="B496" r:id="rId469" xr:uid="{980A8CD4-4B15-436D-8001-B64FDA2B8C78}"/>
    <hyperlink ref="B497" r:id="rId470" xr:uid="{F5F68118-82A9-4B92-9433-BE2F9EEB45DB}"/>
    <hyperlink ref="B498" r:id="rId471" xr:uid="{45473A19-46D3-4614-B309-1B116D5817AC}"/>
    <hyperlink ref="B512" r:id="rId472" xr:uid="{6CE71D28-5AC5-4E4F-8B26-54E16C1FEF68}"/>
    <hyperlink ref="B513" r:id="rId473" xr:uid="{86CEF577-0E57-40FB-8226-A1B9D66313D9}"/>
    <hyperlink ref="B514" r:id="rId474" xr:uid="{2C74544F-E912-4C5A-8F33-B5F8786E68D7}"/>
    <hyperlink ref="B516" r:id="rId475" xr:uid="{3CD261D3-5E3C-47C1-B929-F5C8890F02B4}"/>
    <hyperlink ref="C540" r:id="rId476" display="https://leetcode.com/problems/minimum-path-sum/" xr:uid="{CD625DD7-8859-424F-A22D-7B74CC4681B3}"/>
    <hyperlink ref="C554" r:id="rId477" xr:uid="{DEA418C2-9318-4C58-9850-7624F99686BC}"/>
    <hyperlink ref="B523" r:id="rId478" xr:uid="{95D4953E-76C6-4AAB-AB8E-972C09CB2BB5}"/>
    <hyperlink ref="B546" r:id="rId479" xr:uid="{61CD9F39-5D29-4A16-9637-974268DB4501}"/>
    <hyperlink ref="B534" r:id="rId480" xr:uid="{B85EEB96-17D8-4755-BB20-FD797CDB4CA7}"/>
    <hyperlink ref="B535" r:id="rId481" xr:uid="{96AB5A0F-CA51-47D2-849B-F76D178C2F9B}"/>
    <hyperlink ref="B524" r:id="rId482" xr:uid="{DDCF1F8E-F2FC-41D4-B535-43272D41EC68}"/>
    <hyperlink ref="C167" r:id="rId483" xr:uid="{7977B9AE-11AC-4883-87F6-9FACB62A09D9}"/>
    <hyperlink ref="B561" r:id="rId484" xr:uid="{46047BFA-0147-4E03-B637-0C3C575EB513}"/>
    <hyperlink ref="B557" r:id="rId485" xr:uid="{1673FD3A-B06B-4547-BCFC-997AA1022EFC}"/>
    <hyperlink ref="C556" r:id="rId486" xr:uid="{B140118B-3309-4D65-B8F2-5C81C975C3F7}"/>
    <hyperlink ref="C557" r:id="rId487" xr:uid="{15FF0E57-3712-4FDF-8A41-69055B2B38A0}"/>
    <hyperlink ref="B558" r:id="rId488" xr:uid="{CB49817E-3ACC-4F78-B7B5-48C49CA3A44E}"/>
    <hyperlink ref="B559" r:id="rId489" xr:uid="{0D1E8650-55F7-4F0F-B577-FC48E4266037}"/>
    <hyperlink ref="B526" r:id="rId490" xr:uid="{2BA62D31-D76A-42A9-83BA-3257D24DD96C}"/>
    <hyperlink ref="B604" r:id="rId491" display="Subarray Sum divisible by K (Leetcode 560)" xr:uid="{1B448318-FB50-44D5-BEF5-B03FF97781CC}"/>
    <hyperlink ref="B157" r:id="rId492" display="Deleter Nth node from last in a linked list" xr:uid="{AD15AD9F-B62D-4AE3-87BA-1A94868D15BA}"/>
    <hyperlink ref="B170" r:id="rId493" xr:uid="{4477C72C-A754-450A-99A4-AA548069DA50}"/>
    <hyperlink ref="B174" r:id="rId494" xr:uid="{3CD126E0-9217-476D-8457-CC724E616C3E}"/>
    <hyperlink ref="C159" r:id="rId495" display="Proof Of Floyed Cycle Detection Algorithm" xr:uid="{C48AD1BF-4690-4AE4-A0F6-A12BCCF90B52}"/>
    <hyperlink ref="B152" r:id="rId496" xr:uid="{18A9CDA4-F59B-4A26-B016-440F8F852ECB}"/>
    <hyperlink ref="B197" r:id="rId497" xr:uid="{C282D2DF-96B3-4C8C-A33B-ECE25B030903}"/>
    <hyperlink ref="B198" r:id="rId498" xr:uid="{C137A0AC-7A61-4A4D-B996-7B273DF91FCE}"/>
    <hyperlink ref="B199" r:id="rId499" xr:uid="{C15B1153-5E03-469A-AA7E-FA684BBA6CA7}"/>
    <hyperlink ref="B200" r:id="rId500" xr:uid="{B405035D-C892-4265-973C-F7BD99282FB2}"/>
    <hyperlink ref="B201" r:id="rId501" xr:uid="{3B98672F-9586-48D7-800B-49EA3320D7C3}"/>
    <hyperlink ref="B184" r:id="rId502" xr:uid="{A075EEC7-3B58-4EC7-9436-141D8F3A7648}"/>
    <hyperlink ref="B202" r:id="rId503" xr:uid="{1481AF9F-7FEA-499F-B260-47DA3A41225F}"/>
    <hyperlink ref="B225" r:id="rId504" xr:uid="{8772BB77-781D-4CFA-8599-E60AD6E43488}"/>
    <hyperlink ref="B226" r:id="rId505" xr:uid="{B92462F9-169A-4A61-8F32-C6A7CA5A7EF6}"/>
    <hyperlink ref="C514" r:id="rId506" xr:uid="{A05F93BF-AFCA-4724-A161-24B38445A7FF}"/>
    <hyperlink ref="B515" r:id="rId507" xr:uid="{9464E8BB-F213-4F9B-BAB0-64D496E86B02}"/>
    <hyperlink ref="B510" r:id="rId508" xr:uid="{8AE6F7C3-63CC-41B0-B326-DF695652B295}"/>
    <hyperlink ref="B281" r:id="rId509" xr:uid="{0E85C3FF-80EE-48BF-BA5F-CA2E06794704}"/>
    <hyperlink ref="B47" r:id="rId510" display="Longest Mountain Array (Leetcode 845)" xr:uid="{B84FC1AA-69E7-4A65-BA75-F4A80EB78B4D}"/>
    <hyperlink ref="B481" r:id="rId511" xr:uid="{DFA3EB76-F634-430E-BCAC-514FCC0C8944}"/>
    <hyperlink ref="B583" r:id="rId512" xr:uid="{0914684B-BBE5-422B-8BB9-396552627735}"/>
    <hyperlink ref="B597" r:id="rId513" xr:uid="{A575DD78-4E29-4CF6-90BB-BB93147EDF78}"/>
    <hyperlink ref="B320" r:id="rId514" xr:uid="{5B8F7344-D7EA-4AD9-9898-364038C04BAE}"/>
    <hyperlink ref="B44" r:id="rId515" xr:uid="{BA932BE2-2273-4809-82B1-1B76020B6483}"/>
    <hyperlink ref="B45" r:id="rId516" xr:uid="{BFE96046-7872-49B1-ACFC-86AC8EAC0F86}"/>
    <hyperlink ref="B46" r:id="rId517" xr:uid="{577D3484-5B27-4880-962E-769E7AC1ED39}"/>
    <hyperlink ref="B63" r:id="rId518" xr:uid="{524C2277-E8FB-4696-992F-E97EFC91E748}"/>
    <hyperlink ref="B62" r:id="rId519" xr:uid="{6FDBB425-70D7-46B6-9BC1-ADA6DD89FBB7}"/>
    <hyperlink ref="B61" r:id="rId520" xr:uid="{1ECCB412-6D4F-40BB-A72A-1345B778F834}"/>
    <hyperlink ref="B150" r:id="rId521" xr:uid="{F95D4F20-9115-4E53-A479-71526D7BC8E4}"/>
    <hyperlink ref="B341" r:id="rId522" xr:uid="{8E138487-B7C6-414E-BB18-EAD44B3A199F}"/>
    <hyperlink ref="B399" r:id="rId523" xr:uid="{4081920E-6735-4E18-8F6E-C1723A6A39AF}"/>
    <hyperlink ref="B577" r:id="rId524" xr:uid="{1BC5A43E-EC2D-45C7-B616-AB6E25995A03}"/>
    <hyperlink ref="B282" r:id="rId525" xr:uid="{87D375D4-A2D0-4109-96B7-C4BDB47CEA0A}"/>
    <hyperlink ref="B644" r:id="rId526" xr:uid="{3A12232A-7B3A-4B96-8F45-4B31628FD160}"/>
    <hyperlink ref="C19" r:id="rId527" xr:uid="{99A67520-15B0-4FE6-A143-E59613E817F5}"/>
    <hyperlink ref="B18" r:id="rId528" xr:uid="{E17B24E1-E9F7-40A4-AB6B-DA1F7CB8F7D1}"/>
    <hyperlink ref="B20" r:id="rId529" xr:uid="{5347F346-11F0-44AA-8F41-B0C1CE3ED291}"/>
    <hyperlink ref="B613" r:id="rId530" xr:uid="{3A66C5EC-7D7C-4B9A-9B12-A39AC5BE163D}"/>
    <hyperlink ref="C602" r:id="rId531" display="Largest subarray with 0 sum" xr:uid="{06B07514-0159-42D8-A33A-3DA326440356}"/>
    <hyperlink ref="B572" r:id="rId532" xr:uid="{B861A78E-71A3-44D5-833F-CDA0C7B73692}"/>
    <hyperlink ref="B172" r:id="rId533" xr:uid="{87215C84-990B-4060-9C2A-CE4AC87A4136}"/>
  </hyperlinks>
  <pageMargins left="0.7" right="0.7" top="0.75" bottom="0.75" header="0.3" footer="0.3"/>
  <pageSetup orientation="portrait" r:id="rId53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5B3F-CEFF-4328-A500-386CD4311FC7}">
  <sheetPr>
    <outlinePr summaryBelow="0" summaryRight="0"/>
  </sheetPr>
  <dimension ref="B1:D435"/>
  <sheetViews>
    <sheetView topLeftCell="A249" workbookViewId="0">
      <selection activeCell="C272" sqref="C272"/>
    </sheetView>
  </sheetViews>
  <sheetFormatPr defaultColWidth="13" defaultRowHeight="15.75" customHeight="1"/>
  <cols>
    <col min="1" max="1" width="13" style="77"/>
    <col min="2" max="2" width="60.796875" style="77" customWidth="1"/>
    <col min="3" max="3" width="33.59765625" style="77" customWidth="1"/>
    <col min="4" max="4" width="56.19921875" style="77" customWidth="1"/>
    <col min="5" max="16384" width="13" style="77"/>
  </cols>
  <sheetData>
    <row r="1" spans="2:4" ht="13.2">
      <c r="B1" s="87"/>
      <c r="C1" s="87"/>
    </row>
    <row r="2" spans="2:4" ht="13.2">
      <c r="B2" s="86"/>
      <c r="C2" s="86"/>
    </row>
    <row r="3" spans="2:4" ht="13.2">
      <c r="B3" s="86"/>
      <c r="C3" s="86"/>
    </row>
    <row r="4" spans="2:4" ht="15.75" customHeight="1">
      <c r="B4" s="85"/>
      <c r="C4" s="85"/>
    </row>
    <row r="5" spans="2:4" ht="15.75" customHeight="1">
      <c r="B5" s="85"/>
      <c r="C5" s="85"/>
    </row>
    <row r="6" spans="2:4" ht="13.2">
      <c r="B6" s="85"/>
      <c r="C6" s="85"/>
    </row>
    <row r="8" spans="2:4" ht="13.2">
      <c r="B8" s="79" t="s">
        <v>1171</v>
      </c>
      <c r="C8" s="79"/>
      <c r="D8" s="79" t="s">
        <v>1170</v>
      </c>
    </row>
    <row r="9" spans="2:4" ht="13.2">
      <c r="B9" s="80" t="s">
        <v>845</v>
      </c>
      <c r="C9" s="80"/>
    </row>
    <row r="10" spans="2:4" ht="13.2">
      <c r="B10" s="78" t="s">
        <v>1169</v>
      </c>
      <c r="C10" s="78"/>
      <c r="D10" s="78" t="s">
        <v>1168</v>
      </c>
    </row>
    <row r="11" spans="2:4" ht="13.2">
      <c r="B11" s="78" t="s">
        <v>1167</v>
      </c>
      <c r="C11" s="78"/>
      <c r="D11" s="82" t="s">
        <v>1166</v>
      </c>
    </row>
    <row r="12" spans="2:4" ht="13.2">
      <c r="B12" s="78" t="s">
        <v>1165</v>
      </c>
      <c r="C12" s="78"/>
      <c r="D12" s="78" t="s">
        <v>1164</v>
      </c>
    </row>
    <row r="13" spans="2:4" ht="13.2">
      <c r="B13" s="78" t="s">
        <v>1163</v>
      </c>
      <c r="C13" s="78"/>
      <c r="D13" s="78" t="s">
        <v>1162</v>
      </c>
    </row>
    <row r="14" spans="2:4" ht="13.2">
      <c r="B14" s="78" t="s">
        <v>1161</v>
      </c>
      <c r="C14" s="78"/>
      <c r="D14" s="78" t="s">
        <v>1160</v>
      </c>
    </row>
    <row r="15" spans="2:4" ht="13.2">
      <c r="B15" s="82" t="s">
        <v>1159</v>
      </c>
      <c r="C15" s="82"/>
      <c r="D15" s="78" t="s">
        <v>1158</v>
      </c>
    </row>
    <row r="16" spans="2:4" ht="13.2">
      <c r="B16" s="82" t="s">
        <v>1157</v>
      </c>
      <c r="C16" s="82"/>
      <c r="D16" s="78" t="s">
        <v>1156</v>
      </c>
    </row>
    <row r="17" spans="2:4" ht="13.2">
      <c r="B17" s="82" t="s">
        <v>1155</v>
      </c>
      <c r="C17" s="82"/>
      <c r="D17" s="78" t="s">
        <v>1154</v>
      </c>
    </row>
    <row r="18" spans="2:4" ht="13.2">
      <c r="B18" s="82" t="s">
        <v>1153</v>
      </c>
      <c r="C18" s="82"/>
      <c r="D18" s="78" t="s">
        <v>1152</v>
      </c>
    </row>
    <row r="19" spans="2:4" ht="13.2">
      <c r="B19" s="82" t="s">
        <v>1151</v>
      </c>
      <c r="C19" s="82"/>
      <c r="D19" s="78" t="s">
        <v>1150</v>
      </c>
    </row>
    <row r="20" spans="2:4" ht="13.2">
      <c r="B20" s="82" t="s">
        <v>1149</v>
      </c>
      <c r="C20" s="82"/>
      <c r="D20" s="78" t="s">
        <v>1148</v>
      </c>
    </row>
    <row r="21" spans="2:4" ht="13.2">
      <c r="B21" s="82" t="s">
        <v>1147</v>
      </c>
      <c r="C21" s="82"/>
      <c r="D21" s="78" t="s">
        <v>1146</v>
      </c>
    </row>
    <row r="23" spans="2:4" ht="13.2">
      <c r="B23" s="80" t="s">
        <v>817</v>
      </c>
      <c r="C23" s="80"/>
    </row>
    <row r="24" spans="2:4" ht="13.2">
      <c r="B24" s="78" t="s">
        <v>1145</v>
      </c>
      <c r="C24" s="78"/>
      <c r="D24" s="78" t="s">
        <v>1144</v>
      </c>
    </row>
    <row r="25" spans="2:4" ht="13.2">
      <c r="B25" s="82" t="s">
        <v>1143</v>
      </c>
      <c r="C25" s="82"/>
      <c r="D25" s="78" t="s">
        <v>1142</v>
      </c>
    </row>
    <row r="26" spans="2:4" ht="13.2">
      <c r="B26" s="78" t="s">
        <v>1141</v>
      </c>
      <c r="C26" s="78"/>
      <c r="D26" s="82" t="s">
        <v>1140</v>
      </c>
    </row>
    <row r="27" spans="2:4" ht="13.2">
      <c r="B27" s="78" t="s">
        <v>1139</v>
      </c>
      <c r="C27" s="78"/>
      <c r="D27" s="78" t="s">
        <v>1138</v>
      </c>
    </row>
    <row r="28" spans="2:4" ht="13.2">
      <c r="B28" s="78" t="s">
        <v>1137</v>
      </c>
      <c r="C28" s="78"/>
      <c r="D28" s="78" t="s">
        <v>1136</v>
      </c>
    </row>
    <row r="29" spans="2:4" ht="13.2">
      <c r="B29" s="82" t="s">
        <v>1135</v>
      </c>
      <c r="C29" s="82"/>
    </row>
    <row r="30" spans="2:4" ht="13.2">
      <c r="B30" s="82" t="s">
        <v>1134</v>
      </c>
      <c r="C30" s="82"/>
    </row>
    <row r="31" spans="2:4" ht="13.2">
      <c r="B31" s="82" t="s">
        <v>1133</v>
      </c>
      <c r="C31" s="82"/>
    </row>
    <row r="32" spans="2:4" ht="13.2">
      <c r="B32" s="82" t="s">
        <v>1132</v>
      </c>
      <c r="C32" s="82"/>
    </row>
    <row r="33" spans="2:4" ht="13.2">
      <c r="B33" s="82" t="s">
        <v>1131</v>
      </c>
      <c r="C33" s="82"/>
    </row>
    <row r="34" spans="2:4" ht="13.2">
      <c r="B34" s="82" t="s">
        <v>1130</v>
      </c>
      <c r="C34" s="82"/>
    </row>
    <row r="35" spans="2:4" ht="13.2">
      <c r="B35" s="82" t="s">
        <v>1129</v>
      </c>
      <c r="C35" s="82"/>
    </row>
    <row r="36" spans="2:4" ht="13.2">
      <c r="B36" s="82" t="s">
        <v>1128</v>
      </c>
      <c r="C36" s="82"/>
    </row>
    <row r="37" spans="2:4" ht="13.2">
      <c r="B37" s="82" t="s">
        <v>1127</v>
      </c>
      <c r="C37" s="82"/>
      <c r="D37" s="78" t="s">
        <v>1126</v>
      </c>
    </row>
    <row r="38" spans="2:4" ht="13.2">
      <c r="B38" s="82" t="s">
        <v>1125</v>
      </c>
      <c r="C38" s="82"/>
    </row>
    <row r="39" spans="2:4" ht="13.2">
      <c r="B39" s="82" t="s">
        <v>1124</v>
      </c>
      <c r="C39" s="82"/>
      <c r="D39" s="82" t="s">
        <v>1123</v>
      </c>
    </row>
    <row r="40" spans="2:4" ht="13.2">
      <c r="B40" s="78" t="s">
        <v>1122</v>
      </c>
      <c r="C40" s="78"/>
      <c r="D40" s="82" t="s">
        <v>1121</v>
      </c>
    </row>
    <row r="41" spans="2:4" ht="13.2">
      <c r="B41" s="78" t="s">
        <v>1120</v>
      </c>
      <c r="C41" s="78"/>
    </row>
    <row r="42" spans="2:4" ht="13.2">
      <c r="B42" s="78" t="s">
        <v>1119</v>
      </c>
      <c r="C42" s="78"/>
    </row>
    <row r="43" spans="2:4" ht="13.2">
      <c r="B43" s="78" t="s">
        <v>1118</v>
      </c>
      <c r="C43" s="78"/>
    </row>
    <row r="44" spans="2:4" ht="13.2">
      <c r="B44" s="82" t="s">
        <v>1117</v>
      </c>
      <c r="C44" s="82"/>
    </row>
    <row r="45" spans="2:4" ht="13.2">
      <c r="B45" s="82" t="s">
        <v>1116</v>
      </c>
      <c r="C45" s="82"/>
    </row>
    <row r="46" spans="2:4" ht="13.2">
      <c r="B46" s="82" t="s">
        <v>1115</v>
      </c>
      <c r="C46" s="82"/>
      <c r="D46" s="82" t="s">
        <v>1114</v>
      </c>
    </row>
    <row r="47" spans="2:4" ht="13.2">
      <c r="B47" s="82" t="s">
        <v>1113</v>
      </c>
      <c r="C47" s="82"/>
    </row>
    <row r="48" spans="2:4" ht="13.2">
      <c r="B48" s="82" t="s">
        <v>1112</v>
      </c>
      <c r="C48" s="82"/>
    </row>
    <row r="49" spans="2:4" ht="13.2">
      <c r="B49" s="82" t="s">
        <v>1111</v>
      </c>
      <c r="C49" s="82"/>
    </row>
    <row r="51" spans="2:4" ht="13.2">
      <c r="B51" s="80" t="s">
        <v>808</v>
      </c>
      <c r="C51" s="80"/>
    </row>
    <row r="52" spans="2:4" ht="13.2">
      <c r="B52" s="82" t="s">
        <v>1110</v>
      </c>
      <c r="C52" s="82"/>
    </row>
    <row r="53" spans="2:4" ht="13.2">
      <c r="B53" s="82" t="s">
        <v>1109</v>
      </c>
      <c r="C53" s="82"/>
    </row>
    <row r="54" spans="2:4" ht="13.2">
      <c r="B54" s="82" t="s">
        <v>1108</v>
      </c>
      <c r="C54" s="82"/>
    </row>
    <row r="55" spans="2:4" ht="13.2">
      <c r="B55" s="82" t="s">
        <v>1107</v>
      </c>
      <c r="C55" s="82"/>
      <c r="D55" s="78" t="s">
        <v>1106</v>
      </c>
    </row>
    <row r="56" spans="2:4" ht="13.2">
      <c r="B56" s="82" t="s">
        <v>1105</v>
      </c>
      <c r="C56" s="82"/>
      <c r="D56" s="82" t="s">
        <v>1104</v>
      </c>
    </row>
    <row r="58" spans="2:4" ht="13.2">
      <c r="B58" s="79" t="s">
        <v>1103</v>
      </c>
      <c r="C58" s="79"/>
    </row>
    <row r="59" spans="2:4" ht="13.2">
      <c r="B59" s="80" t="s">
        <v>845</v>
      </c>
      <c r="C59" s="80"/>
    </row>
    <row r="60" spans="2:4" ht="13.2">
      <c r="B60" s="78" t="s">
        <v>1102</v>
      </c>
      <c r="C60" s="78"/>
    </row>
    <row r="61" spans="2:4" ht="13.2">
      <c r="B61" s="82" t="s">
        <v>1101</v>
      </c>
      <c r="C61" s="82"/>
    </row>
    <row r="62" spans="2:4" ht="13.2">
      <c r="B62" s="82" t="s">
        <v>1100</v>
      </c>
      <c r="C62" s="82"/>
      <c r="D62" s="78" t="s">
        <v>1099</v>
      </c>
    </row>
    <row r="63" spans="2:4" ht="13.2">
      <c r="B63" s="78" t="s">
        <v>1098</v>
      </c>
      <c r="C63" s="78"/>
    </row>
    <row r="65" spans="2:4" ht="13.2">
      <c r="B65" s="80" t="s">
        <v>817</v>
      </c>
      <c r="C65" s="80"/>
    </row>
    <row r="66" spans="2:4" ht="13.2">
      <c r="B66" s="82" t="s">
        <v>1097</v>
      </c>
      <c r="C66" s="82"/>
      <c r="D66" s="78" t="s">
        <v>1096</v>
      </c>
    </row>
    <row r="67" spans="2:4" ht="13.2">
      <c r="B67" s="82" t="s">
        <v>1095</v>
      </c>
      <c r="C67" s="82"/>
      <c r="D67" s="78" t="s">
        <v>1094</v>
      </c>
    </row>
    <row r="68" spans="2:4" ht="13.2">
      <c r="B68" s="82" t="s">
        <v>1093</v>
      </c>
      <c r="C68" s="82"/>
    </row>
    <row r="69" spans="2:4" ht="13.2">
      <c r="B69" s="82" t="s">
        <v>1092</v>
      </c>
      <c r="C69" s="82"/>
    </row>
    <row r="70" spans="2:4" ht="13.2">
      <c r="B70" s="82" t="s">
        <v>1091</v>
      </c>
      <c r="C70" s="82"/>
    </row>
    <row r="71" spans="2:4" ht="13.2">
      <c r="B71" s="82" t="s">
        <v>1090</v>
      </c>
      <c r="C71" s="82"/>
    </row>
    <row r="72" spans="2:4" ht="13.2">
      <c r="B72" s="82" t="s">
        <v>1089</v>
      </c>
      <c r="C72" s="82"/>
    </row>
    <row r="73" spans="2:4" ht="13.2">
      <c r="B73" s="82" t="s">
        <v>1088</v>
      </c>
      <c r="C73" s="82"/>
    </row>
    <row r="74" spans="2:4" ht="13.2">
      <c r="B74" s="82" t="s">
        <v>1087</v>
      </c>
      <c r="C74" s="82"/>
      <c r="D74" s="78" t="s">
        <v>1086</v>
      </c>
    </row>
    <row r="75" spans="2:4" ht="13.2">
      <c r="B75" s="82" t="s">
        <v>1085</v>
      </c>
      <c r="C75" s="82"/>
    </row>
    <row r="76" spans="2:4" ht="13.2">
      <c r="B76" s="82" t="s">
        <v>1084</v>
      </c>
      <c r="C76" s="82"/>
    </row>
    <row r="77" spans="2:4" ht="13.2">
      <c r="B77" s="82" t="s">
        <v>1083</v>
      </c>
      <c r="C77" s="82"/>
    </row>
    <row r="78" spans="2:4" ht="13.2">
      <c r="B78" s="82" t="s">
        <v>1082</v>
      </c>
      <c r="C78" s="82"/>
    </row>
    <row r="79" spans="2:4" ht="13.2">
      <c r="B79" s="82" t="s">
        <v>1081</v>
      </c>
      <c r="C79" s="82"/>
    </row>
    <row r="80" spans="2:4" ht="13.2">
      <c r="B80" s="82" t="s">
        <v>1080</v>
      </c>
      <c r="C80" s="82"/>
    </row>
    <row r="81" spans="2:4" ht="13.2">
      <c r="B81" s="82" t="s">
        <v>1079</v>
      </c>
      <c r="C81" s="82"/>
    </row>
    <row r="83" spans="2:4" ht="13.2">
      <c r="B83" s="80" t="s">
        <v>808</v>
      </c>
      <c r="C83" s="80"/>
    </row>
    <row r="84" spans="2:4" ht="13.2">
      <c r="B84" s="82" t="s">
        <v>1078</v>
      </c>
      <c r="C84" s="82"/>
    </row>
    <row r="85" spans="2:4" ht="13.2">
      <c r="B85" s="82" t="s">
        <v>1077</v>
      </c>
      <c r="C85" s="82"/>
    </row>
    <row r="86" spans="2:4" ht="13.2">
      <c r="B86" s="82" t="s">
        <v>1076</v>
      </c>
      <c r="C86" s="82"/>
    </row>
    <row r="87" spans="2:4" ht="13.2">
      <c r="B87" s="82" t="s">
        <v>1075</v>
      </c>
      <c r="C87" s="82"/>
    </row>
    <row r="88" spans="2:4" ht="13.2">
      <c r="B88" s="82" t="s">
        <v>1074</v>
      </c>
      <c r="C88" s="82"/>
    </row>
    <row r="89" spans="2:4" ht="13.2">
      <c r="B89" s="82" t="s">
        <v>1073</v>
      </c>
      <c r="C89" s="82"/>
    </row>
    <row r="90" spans="2:4" ht="13.2">
      <c r="B90" s="82" t="s">
        <v>1072</v>
      </c>
      <c r="C90" s="82"/>
    </row>
    <row r="91" spans="2:4" ht="13.2">
      <c r="B91" s="82" t="s">
        <v>1071</v>
      </c>
      <c r="C91" s="82"/>
    </row>
    <row r="92" spans="2:4" ht="13.2">
      <c r="B92" s="82" t="s">
        <v>1070</v>
      </c>
      <c r="C92" s="82"/>
      <c r="D92" s="78" t="s">
        <v>1069</v>
      </c>
    </row>
    <row r="93" spans="2:4" ht="13.2">
      <c r="B93" s="82" t="s">
        <v>1068</v>
      </c>
      <c r="C93" s="82"/>
    </row>
    <row r="94" spans="2:4" ht="13.2">
      <c r="B94" s="82" t="s">
        <v>1067</v>
      </c>
      <c r="C94" s="82"/>
    </row>
    <row r="95" spans="2:4" ht="13.2">
      <c r="B95" s="82" t="s">
        <v>1066</v>
      </c>
      <c r="C95" s="82"/>
    </row>
    <row r="96" spans="2:4" ht="13.2">
      <c r="B96" s="82" t="s">
        <v>1065</v>
      </c>
      <c r="C96" s="82"/>
    </row>
    <row r="97" spans="2:3" ht="13.2">
      <c r="B97" s="82" t="s">
        <v>1064</v>
      </c>
      <c r="C97" s="82"/>
    </row>
    <row r="98" spans="2:3" ht="13.2">
      <c r="B98" s="82" t="s">
        <v>1063</v>
      </c>
      <c r="C98" s="82"/>
    </row>
    <row r="100" spans="2:3" ht="13.2">
      <c r="B100" s="79" t="s">
        <v>1062</v>
      </c>
      <c r="C100" s="79"/>
    </row>
    <row r="101" spans="2:3" ht="13.2">
      <c r="B101" s="80" t="s">
        <v>845</v>
      </c>
      <c r="C101" s="80"/>
    </row>
    <row r="102" spans="2:3" ht="13.2">
      <c r="B102" s="82" t="s">
        <v>1061</v>
      </c>
      <c r="C102" s="82"/>
    </row>
    <row r="103" spans="2:3" ht="13.2">
      <c r="B103" s="82" t="s">
        <v>1060</v>
      </c>
      <c r="C103" s="82"/>
    </row>
    <row r="104" spans="2:3" ht="13.2">
      <c r="B104" s="78" t="s">
        <v>1059</v>
      </c>
      <c r="C104" s="78"/>
    </row>
    <row r="105" spans="2:3" ht="13.2">
      <c r="B105" s="82" t="s">
        <v>1058</v>
      </c>
      <c r="C105" s="82"/>
    </row>
    <row r="106" spans="2:3" ht="13.2">
      <c r="B106" s="82" t="s">
        <v>1057</v>
      </c>
      <c r="C106" s="82"/>
    </row>
    <row r="108" spans="2:3" ht="13.2">
      <c r="B108" s="80" t="s">
        <v>817</v>
      </c>
      <c r="C108" s="80"/>
    </row>
    <row r="109" spans="2:3" ht="13.2">
      <c r="B109" s="82" t="s">
        <v>1056</v>
      </c>
      <c r="C109" s="82"/>
    </row>
    <row r="110" spans="2:3" ht="13.2">
      <c r="B110" s="82" t="s">
        <v>1055</v>
      </c>
      <c r="C110" s="82"/>
    </row>
    <row r="111" spans="2:3" ht="13.2">
      <c r="B111" s="82" t="s">
        <v>1054</v>
      </c>
      <c r="C111" s="82"/>
    </row>
    <row r="113" spans="2:4" ht="13.2">
      <c r="B113" s="82" t="s">
        <v>1053</v>
      </c>
      <c r="C113" s="82"/>
      <c r="D113" s="78" t="s">
        <v>1052</v>
      </c>
    </row>
    <row r="114" spans="2:4" ht="13.2">
      <c r="B114" s="82" t="s">
        <v>1051</v>
      </c>
      <c r="C114" s="82"/>
    </row>
    <row r="115" spans="2:4" ht="13.2">
      <c r="B115" s="82" t="s">
        <v>1050</v>
      </c>
      <c r="C115" s="82"/>
    </row>
    <row r="116" spans="2:4" ht="13.2">
      <c r="B116" s="78" t="s">
        <v>1049</v>
      </c>
      <c r="C116" s="78"/>
    </row>
    <row r="117" spans="2:4" ht="13.2">
      <c r="B117" s="82" t="s">
        <v>1048</v>
      </c>
      <c r="C117" s="82"/>
    </row>
    <row r="118" spans="2:4" ht="13.2">
      <c r="B118" s="82" t="s">
        <v>1047</v>
      </c>
      <c r="C118" s="82"/>
    </row>
    <row r="119" spans="2:4" ht="13.2">
      <c r="B119" s="82" t="s">
        <v>1046</v>
      </c>
      <c r="C119" s="82"/>
    </row>
    <row r="121" spans="2:4" ht="13.2">
      <c r="B121" s="80" t="s">
        <v>808</v>
      </c>
      <c r="C121" s="80"/>
    </row>
    <row r="122" spans="2:4" ht="13.2">
      <c r="B122" s="78" t="s">
        <v>1045</v>
      </c>
      <c r="C122" s="78"/>
    </row>
    <row r="123" spans="2:4" ht="13.2">
      <c r="B123" s="78" t="s">
        <v>1044</v>
      </c>
      <c r="C123" s="78"/>
    </row>
    <row r="124" spans="2:4" ht="13.2">
      <c r="B124" s="82" t="s">
        <v>1043</v>
      </c>
      <c r="C124" s="82"/>
    </row>
    <row r="125" spans="2:4" ht="13.2">
      <c r="B125" s="82" t="s">
        <v>1042</v>
      </c>
      <c r="C125" s="82"/>
    </row>
    <row r="126" spans="2:4" ht="13.2">
      <c r="B126" s="82" t="s">
        <v>1041</v>
      </c>
      <c r="C126" s="82"/>
    </row>
    <row r="127" spans="2:4" ht="13.2">
      <c r="B127" s="82" t="s">
        <v>1040</v>
      </c>
      <c r="C127" s="82"/>
    </row>
    <row r="128" spans="2:4" ht="13.2">
      <c r="B128" s="82" t="s">
        <v>1039</v>
      </c>
      <c r="C128" s="82"/>
    </row>
    <row r="130" spans="2:4" ht="13.2">
      <c r="B130" s="79" t="s">
        <v>1038</v>
      </c>
      <c r="C130" s="79"/>
    </row>
    <row r="131" spans="2:4" ht="13.2">
      <c r="B131" s="80" t="s">
        <v>845</v>
      </c>
      <c r="C131" s="80"/>
    </row>
    <row r="132" spans="2:4" ht="13.2">
      <c r="B132" s="78" t="s">
        <v>1037</v>
      </c>
      <c r="C132" s="78"/>
    </row>
    <row r="133" spans="2:4" ht="13.2">
      <c r="B133" s="82" t="s">
        <v>1036</v>
      </c>
      <c r="C133" s="82"/>
    </row>
    <row r="134" spans="2:4" ht="13.2">
      <c r="B134" s="78" t="s">
        <v>1035</v>
      </c>
      <c r="C134" s="78"/>
    </row>
    <row r="135" spans="2:4" ht="13.2">
      <c r="B135" s="78" t="s">
        <v>1034</v>
      </c>
      <c r="C135" s="78"/>
    </row>
    <row r="136" spans="2:4" ht="13.2">
      <c r="B136" s="78" t="s">
        <v>1033</v>
      </c>
      <c r="C136" s="78"/>
      <c r="D136" s="78" t="s">
        <v>1032</v>
      </c>
    </row>
    <row r="137" spans="2:4" ht="13.2">
      <c r="B137" s="78" t="s">
        <v>1031</v>
      </c>
      <c r="C137" s="78"/>
    </row>
    <row r="138" spans="2:4" ht="13.2">
      <c r="B138" s="78" t="s">
        <v>1030</v>
      </c>
      <c r="C138" s="78"/>
    </row>
    <row r="139" spans="2:4" ht="13.2">
      <c r="B139" s="78" t="s">
        <v>1029</v>
      </c>
      <c r="C139" s="78"/>
    </row>
    <row r="140" spans="2:4" ht="13.2">
      <c r="B140" s="78" t="s">
        <v>1028</v>
      </c>
      <c r="C140" s="78"/>
    </row>
    <row r="142" spans="2:4" ht="13.2">
      <c r="B142" s="80" t="s">
        <v>817</v>
      </c>
      <c r="C142" s="80"/>
    </row>
    <row r="143" spans="2:4" ht="13.2">
      <c r="B143" s="78" t="s">
        <v>1027</v>
      </c>
      <c r="C143" s="78"/>
    </row>
    <row r="144" spans="2:4" ht="13.2">
      <c r="B144" s="78" t="s">
        <v>1026</v>
      </c>
      <c r="C144" s="78"/>
    </row>
    <row r="145" spans="2:3" ht="13.2">
      <c r="B145" s="78" t="s">
        <v>1025</v>
      </c>
      <c r="C145" s="78"/>
    </row>
    <row r="146" spans="2:3" ht="13.2">
      <c r="B146" s="78" t="s">
        <v>1024</v>
      </c>
      <c r="C146" s="78"/>
    </row>
    <row r="147" spans="2:3" ht="13.2">
      <c r="B147" s="78" t="s">
        <v>1023</v>
      </c>
      <c r="C147" s="78"/>
    </row>
    <row r="148" spans="2:3" ht="13.2">
      <c r="B148" s="78" t="s">
        <v>1022</v>
      </c>
      <c r="C148" s="78"/>
    </row>
    <row r="149" spans="2:3" ht="13.2">
      <c r="B149" s="78" t="s">
        <v>1021</v>
      </c>
      <c r="C149" s="78"/>
    </row>
    <row r="151" spans="2:3" ht="13.2">
      <c r="B151" s="80" t="s">
        <v>808</v>
      </c>
      <c r="C151" s="80"/>
    </row>
    <row r="152" spans="2:3" ht="13.2">
      <c r="B152" s="82" t="s">
        <v>1020</v>
      </c>
      <c r="C152" s="82"/>
    </row>
    <row r="153" spans="2:3" ht="13.2">
      <c r="B153" s="82" t="s">
        <v>1019</v>
      </c>
      <c r="C153" s="82"/>
    </row>
    <row r="154" spans="2:3" ht="13.2">
      <c r="B154" s="82" t="s">
        <v>1018</v>
      </c>
      <c r="C154" s="82"/>
    </row>
    <row r="155" spans="2:3" ht="13.2">
      <c r="B155" s="82" t="s">
        <v>1017</v>
      </c>
      <c r="C155" s="82"/>
    </row>
    <row r="157" spans="2:3" ht="13.2">
      <c r="B157" s="79" t="s">
        <v>1016</v>
      </c>
      <c r="C157" s="79"/>
    </row>
    <row r="158" spans="2:3" ht="13.2">
      <c r="B158" s="80" t="s">
        <v>1015</v>
      </c>
      <c r="C158" s="80"/>
    </row>
    <row r="159" spans="2:3" ht="13.2">
      <c r="B159" s="84" t="s">
        <v>1014</v>
      </c>
      <c r="C159" s="84"/>
    </row>
    <row r="161" spans="2:3" ht="13.2">
      <c r="B161" s="80" t="s">
        <v>817</v>
      </c>
      <c r="C161" s="80"/>
    </row>
    <row r="162" spans="2:3" ht="13.2">
      <c r="B162" s="78" t="s">
        <v>1013</v>
      </c>
      <c r="C162" s="78"/>
    </row>
    <row r="163" spans="2:3" ht="13.2">
      <c r="B163" s="78" t="s">
        <v>1012</v>
      </c>
      <c r="C163" s="78"/>
    </row>
    <row r="164" spans="2:3" ht="13.2">
      <c r="B164" s="78" t="s">
        <v>1011</v>
      </c>
      <c r="C164" s="78"/>
    </row>
    <row r="165" spans="2:3" ht="13.2">
      <c r="B165" s="78" t="s">
        <v>1010</v>
      </c>
      <c r="C165" s="78"/>
    </row>
    <row r="166" spans="2:3" ht="13.2">
      <c r="B166" s="78" t="s">
        <v>1009</v>
      </c>
      <c r="C166" s="78"/>
    </row>
    <row r="167" spans="2:3" ht="13.2">
      <c r="B167" s="78" t="s">
        <v>1008</v>
      </c>
      <c r="C167" s="78"/>
    </row>
    <row r="168" spans="2:3" ht="13.2">
      <c r="B168" s="78" t="s">
        <v>1007</v>
      </c>
      <c r="C168" s="78"/>
    </row>
    <row r="169" spans="2:3" ht="13.2">
      <c r="B169" s="82" t="s">
        <v>1006</v>
      </c>
      <c r="C169" s="82"/>
    </row>
    <row r="171" spans="2:3" ht="13.2">
      <c r="B171" s="80" t="s">
        <v>808</v>
      </c>
      <c r="C171" s="80"/>
    </row>
    <row r="172" spans="2:3" ht="13.2">
      <c r="B172" s="78" t="s">
        <v>1005</v>
      </c>
      <c r="C172" s="78"/>
    </row>
    <row r="173" spans="2:3" ht="13.2">
      <c r="B173" s="82" t="s">
        <v>1004</v>
      </c>
      <c r="C173" s="82"/>
    </row>
    <row r="174" spans="2:3" ht="13.2">
      <c r="B174" s="78" t="s">
        <v>1003</v>
      </c>
      <c r="C174" s="78"/>
    </row>
    <row r="176" spans="2:3" ht="13.2">
      <c r="B176" s="79" t="s">
        <v>1002</v>
      </c>
      <c r="C176" s="79"/>
    </row>
    <row r="177" spans="2:3" ht="13.2">
      <c r="B177" s="80" t="s">
        <v>817</v>
      </c>
      <c r="C177" s="80"/>
    </row>
    <row r="178" spans="2:3" ht="13.2">
      <c r="B178" s="78" t="s">
        <v>1001</v>
      </c>
      <c r="C178" s="78"/>
    </row>
    <row r="179" spans="2:3" ht="13.2">
      <c r="B179" s="78" t="s">
        <v>1000</v>
      </c>
      <c r="C179" s="78"/>
    </row>
    <row r="180" spans="2:3" ht="13.2">
      <c r="B180" s="78" t="s">
        <v>999</v>
      </c>
      <c r="C180" s="78"/>
    </row>
    <row r="181" spans="2:3" ht="13.2">
      <c r="B181" s="78" t="s">
        <v>998</v>
      </c>
      <c r="C181" s="78"/>
    </row>
    <row r="182" spans="2:3" ht="13.2">
      <c r="B182" s="78" t="s">
        <v>997</v>
      </c>
      <c r="C182" s="78"/>
    </row>
    <row r="183" spans="2:3" ht="13.2">
      <c r="B183" s="78" t="s">
        <v>996</v>
      </c>
      <c r="C183" s="78"/>
    </row>
    <row r="184" spans="2:3" ht="13.2">
      <c r="B184" s="78" t="s">
        <v>995</v>
      </c>
      <c r="C184" s="78"/>
    </row>
    <row r="185" spans="2:3" ht="15.75" customHeight="1">
      <c r="B185" s="82" t="s">
        <v>994</v>
      </c>
      <c r="C185" s="82"/>
    </row>
    <row r="186" spans="2:3" ht="13.2">
      <c r="B186" s="78" t="s">
        <v>993</v>
      </c>
      <c r="C186" s="78"/>
    </row>
    <row r="188" spans="2:3" ht="13.2">
      <c r="B188" s="80" t="s">
        <v>808</v>
      </c>
      <c r="C188" s="80"/>
    </row>
    <row r="189" spans="2:3" ht="13.2">
      <c r="B189" s="78" t="s">
        <v>992</v>
      </c>
      <c r="C189" s="78"/>
    </row>
    <row r="190" spans="2:3" ht="13.2">
      <c r="B190" s="78" t="s">
        <v>991</v>
      </c>
      <c r="C190" s="78"/>
    </row>
    <row r="191" spans="2:3" ht="13.2">
      <c r="B191" s="78" t="s">
        <v>990</v>
      </c>
      <c r="C191" s="78"/>
    </row>
    <row r="192" spans="2:3" ht="13.2">
      <c r="B192" s="78" t="s">
        <v>989</v>
      </c>
      <c r="C192" s="78"/>
    </row>
    <row r="193" spans="2:3" ht="13.2">
      <c r="B193" s="78" t="s">
        <v>988</v>
      </c>
      <c r="C193" s="78"/>
    </row>
    <row r="194" spans="2:3" ht="13.2">
      <c r="B194" s="78" t="s">
        <v>987</v>
      </c>
      <c r="C194" s="78"/>
    </row>
    <row r="195" spans="2:3" ht="13.2">
      <c r="B195" s="78" t="s">
        <v>986</v>
      </c>
      <c r="C195" s="78"/>
    </row>
    <row r="196" spans="2:3" ht="13.2">
      <c r="B196" s="78" t="s">
        <v>985</v>
      </c>
      <c r="C196" s="78"/>
    </row>
    <row r="198" spans="2:3" ht="13.2">
      <c r="B198" s="79" t="s">
        <v>984</v>
      </c>
      <c r="C198" s="79"/>
    </row>
    <row r="199" spans="2:3" ht="13.2">
      <c r="B199" s="80" t="s">
        <v>845</v>
      </c>
      <c r="C199" s="80"/>
    </row>
    <row r="200" spans="2:3" ht="13.2">
      <c r="B200" s="82" t="s">
        <v>983</v>
      </c>
      <c r="C200" s="82"/>
    </row>
    <row r="201" spans="2:3" ht="13.2">
      <c r="B201" s="82" t="s">
        <v>982</v>
      </c>
      <c r="C201" s="82"/>
    </row>
    <row r="202" spans="2:3" ht="13.2">
      <c r="B202" s="78" t="s">
        <v>981</v>
      </c>
      <c r="C202" s="78"/>
    </row>
    <row r="203" spans="2:3" ht="13.2">
      <c r="B203" s="82" t="s">
        <v>980</v>
      </c>
      <c r="C203" s="82"/>
    </row>
    <row r="204" spans="2:3" ht="13.2">
      <c r="B204" s="78" t="s">
        <v>979</v>
      </c>
      <c r="C204" s="78"/>
    </row>
    <row r="205" spans="2:3" ht="13.2">
      <c r="B205" s="78" t="s">
        <v>978</v>
      </c>
      <c r="C205" s="78"/>
    </row>
    <row r="206" spans="2:3" ht="13.2">
      <c r="B206" s="82" t="s">
        <v>977</v>
      </c>
      <c r="C206" s="82"/>
    </row>
    <row r="207" spans="2:3" ht="13.2">
      <c r="B207" s="78" t="s">
        <v>976</v>
      </c>
      <c r="C207" s="78"/>
    </row>
    <row r="208" spans="2:3" ht="13.2">
      <c r="B208" s="82" t="s">
        <v>975</v>
      </c>
      <c r="C208" s="82"/>
    </row>
    <row r="209" spans="2:3" ht="13.2">
      <c r="B209" s="78" t="s">
        <v>974</v>
      </c>
      <c r="C209" s="78"/>
    </row>
    <row r="210" spans="2:3" ht="13.2">
      <c r="B210" s="82" t="s">
        <v>973</v>
      </c>
      <c r="C210" s="82"/>
    </row>
    <row r="211" spans="2:3" ht="13.2">
      <c r="B211" s="82" t="s">
        <v>972</v>
      </c>
      <c r="C211" s="82"/>
    </row>
    <row r="212" spans="2:3" ht="13.2">
      <c r="B212" s="78" t="s">
        <v>971</v>
      </c>
      <c r="C212" s="78"/>
    </row>
    <row r="213" spans="2:3" ht="13.2">
      <c r="B213" s="82" t="s">
        <v>970</v>
      </c>
      <c r="C213" s="82"/>
    </row>
    <row r="214" spans="2:3" ht="13.2">
      <c r="B214" s="78" t="s">
        <v>969</v>
      </c>
      <c r="C214" s="78"/>
    </row>
    <row r="215" spans="2:3" ht="13.2">
      <c r="B215" s="78" t="s">
        <v>968</v>
      </c>
      <c r="C215" s="78"/>
    </row>
    <row r="217" spans="2:3" ht="13.2">
      <c r="B217" s="80" t="s">
        <v>817</v>
      </c>
      <c r="C217" s="80"/>
    </row>
    <row r="218" spans="2:3" ht="13.2">
      <c r="B218" s="78" t="s">
        <v>967</v>
      </c>
      <c r="C218" s="78"/>
    </row>
    <row r="219" spans="2:3" ht="13.2">
      <c r="B219" s="82" t="s">
        <v>966</v>
      </c>
      <c r="C219" s="82"/>
    </row>
    <row r="220" spans="2:3" ht="13.2">
      <c r="B220" s="82" t="s">
        <v>965</v>
      </c>
      <c r="C220" s="82"/>
    </row>
    <row r="221" spans="2:3" ht="13.2">
      <c r="B221" s="82" t="s">
        <v>964</v>
      </c>
      <c r="C221" s="82"/>
    </row>
    <row r="222" spans="2:3" ht="13.2">
      <c r="B222" s="82" t="s">
        <v>963</v>
      </c>
      <c r="C222" s="82"/>
    </row>
    <row r="223" spans="2:3" ht="13.2">
      <c r="B223" s="82" t="s">
        <v>962</v>
      </c>
      <c r="C223" s="82"/>
    </row>
    <row r="224" spans="2:3" ht="13.2">
      <c r="B224" s="82" t="s">
        <v>961</v>
      </c>
      <c r="C224" s="82"/>
    </row>
    <row r="225" spans="2:3" ht="13.2">
      <c r="B225" s="82" t="s">
        <v>960</v>
      </c>
      <c r="C225" s="82"/>
    </row>
    <row r="226" spans="2:3" ht="13.2">
      <c r="B226" s="82" t="s">
        <v>959</v>
      </c>
      <c r="C226" s="82"/>
    </row>
    <row r="227" spans="2:3" ht="13.2">
      <c r="B227" s="82" t="s">
        <v>958</v>
      </c>
      <c r="C227" s="82"/>
    </row>
    <row r="228" spans="2:3" ht="13.2">
      <c r="B228" s="82" t="s">
        <v>957</v>
      </c>
      <c r="C228" s="82"/>
    </row>
    <row r="229" spans="2:3" ht="13.2">
      <c r="B229" s="82" t="s">
        <v>956</v>
      </c>
      <c r="C229" s="82"/>
    </row>
    <row r="230" spans="2:3" ht="13.2">
      <c r="B230" s="82" t="s">
        <v>955</v>
      </c>
      <c r="C230" s="82"/>
    </row>
    <row r="231" spans="2:3" ht="13.2">
      <c r="B231" s="82" t="s">
        <v>954</v>
      </c>
      <c r="C231" s="82"/>
    </row>
    <row r="232" spans="2:3" ht="13.2">
      <c r="B232" s="82" t="s">
        <v>953</v>
      </c>
      <c r="C232" s="82"/>
    </row>
    <row r="233" spans="2:3" ht="13.2">
      <c r="B233" s="82" t="s">
        <v>952</v>
      </c>
      <c r="C233" s="82"/>
    </row>
    <row r="234" spans="2:3" ht="13.2">
      <c r="B234" s="82" t="s">
        <v>951</v>
      </c>
      <c r="C234" s="82"/>
    </row>
    <row r="235" spans="2:3" ht="13.2">
      <c r="B235" s="82" t="s">
        <v>950</v>
      </c>
      <c r="C235" s="82"/>
    </row>
    <row r="237" spans="2:3" ht="13.2">
      <c r="B237" s="80" t="s">
        <v>808</v>
      </c>
      <c r="C237" s="80"/>
    </row>
    <row r="238" spans="2:3" ht="13.2">
      <c r="B238" s="82" t="s">
        <v>949</v>
      </c>
      <c r="C238" s="82"/>
    </row>
    <row r="239" spans="2:3" ht="13.2">
      <c r="B239" s="82" t="s">
        <v>948</v>
      </c>
      <c r="C239" s="82"/>
    </row>
    <row r="240" spans="2:3" ht="13.2">
      <c r="B240" s="78" t="s">
        <v>947</v>
      </c>
      <c r="C240" s="78"/>
    </row>
    <row r="241" spans="2:3" ht="13.2">
      <c r="B241" s="82" t="s">
        <v>946</v>
      </c>
      <c r="C241" s="82"/>
    </row>
    <row r="242" spans="2:3" ht="13.2">
      <c r="B242" s="82" t="s">
        <v>945</v>
      </c>
      <c r="C242" s="82"/>
    </row>
    <row r="243" spans="2:3" ht="13.2">
      <c r="B243" s="82" t="s">
        <v>944</v>
      </c>
      <c r="C243" s="82"/>
    </row>
    <row r="244" spans="2:3" ht="13.2">
      <c r="B244" s="82" t="s">
        <v>943</v>
      </c>
      <c r="C244" s="82"/>
    </row>
    <row r="246" spans="2:3" ht="13.2">
      <c r="B246" s="79" t="s">
        <v>942</v>
      </c>
      <c r="C246" s="79"/>
    </row>
    <row r="247" spans="2:3" ht="13.2">
      <c r="B247" s="80" t="s">
        <v>845</v>
      </c>
      <c r="C247" s="80"/>
    </row>
    <row r="248" spans="2:3" ht="13.2">
      <c r="B248" s="82" t="s">
        <v>941</v>
      </c>
      <c r="C248" s="82"/>
    </row>
    <row r="249" spans="2:3" ht="13.2">
      <c r="B249" s="82" t="s">
        <v>840</v>
      </c>
      <c r="C249" s="82"/>
    </row>
    <row r="250" spans="2:3" ht="13.2">
      <c r="B250" s="80"/>
      <c r="C250" s="80"/>
    </row>
    <row r="251" spans="2:3" ht="13.2">
      <c r="B251" s="80" t="s">
        <v>817</v>
      </c>
      <c r="C251" s="80"/>
    </row>
    <row r="252" spans="2:3" ht="13.2">
      <c r="B252" s="82" t="s">
        <v>940</v>
      </c>
      <c r="C252" s="82"/>
    </row>
    <row r="253" spans="2:3" ht="13.2">
      <c r="B253" s="82" t="s">
        <v>939</v>
      </c>
      <c r="C253" s="82"/>
    </row>
    <row r="255" spans="2:3" ht="13.2">
      <c r="B255" s="79" t="s">
        <v>938</v>
      </c>
      <c r="C255" s="79"/>
    </row>
    <row r="256" spans="2:3" ht="13.2">
      <c r="B256" s="80" t="s">
        <v>845</v>
      </c>
      <c r="C256" s="80"/>
    </row>
    <row r="257" spans="2:3" ht="13.2">
      <c r="B257" s="78" t="s">
        <v>937</v>
      </c>
      <c r="C257" s="78"/>
    </row>
    <row r="258" spans="2:3" ht="13.2">
      <c r="B258" s="82" t="s">
        <v>936</v>
      </c>
      <c r="C258" s="82"/>
    </row>
    <row r="259" spans="2:3" ht="13.2">
      <c r="B259" s="82" t="s">
        <v>935</v>
      </c>
      <c r="C259" s="82"/>
    </row>
    <row r="260" spans="2:3" ht="13.2">
      <c r="B260" s="82" t="s">
        <v>934</v>
      </c>
      <c r="C260" s="82"/>
    </row>
    <row r="262" spans="2:3" ht="13.2">
      <c r="B262" s="80" t="s">
        <v>817</v>
      </c>
      <c r="C262" s="80"/>
    </row>
    <row r="263" spans="2:3" ht="13.2">
      <c r="B263" s="82" t="s">
        <v>933</v>
      </c>
      <c r="C263" s="82"/>
    </row>
    <row r="264" spans="2:3" ht="13.2">
      <c r="B264" s="82" t="s">
        <v>932</v>
      </c>
      <c r="C264" s="82"/>
    </row>
    <row r="265" spans="2:3" ht="13.2">
      <c r="B265" s="82" t="s">
        <v>931</v>
      </c>
      <c r="C265" s="82"/>
    </row>
    <row r="266" spans="2:3" ht="13.2">
      <c r="B266" s="82" t="s">
        <v>930</v>
      </c>
      <c r="C266" s="82"/>
    </row>
    <row r="267" spans="2:3" ht="13.2">
      <c r="B267" s="82" t="s">
        <v>929</v>
      </c>
      <c r="C267" s="82"/>
    </row>
    <row r="268" spans="2:3" ht="13.2">
      <c r="B268" s="82" t="s">
        <v>928</v>
      </c>
      <c r="C268" s="82"/>
    </row>
    <row r="269" spans="2:3" ht="13.2">
      <c r="B269" s="82" t="s">
        <v>927</v>
      </c>
      <c r="C269" s="82"/>
    </row>
    <row r="270" spans="2:3" ht="13.2">
      <c r="B270" s="82" t="s">
        <v>926</v>
      </c>
      <c r="C270" s="82"/>
    </row>
    <row r="271" spans="2:3" ht="13.2">
      <c r="B271" s="82" t="s">
        <v>925</v>
      </c>
      <c r="C271" s="82"/>
    </row>
    <row r="273" spans="2:3" ht="13.2">
      <c r="B273" s="80" t="s">
        <v>808</v>
      </c>
      <c r="C273" s="80"/>
    </row>
    <row r="274" spans="2:3" ht="13.2">
      <c r="B274" s="82" t="s">
        <v>924</v>
      </c>
      <c r="C274" s="82"/>
    </row>
    <row r="275" spans="2:3" ht="15.6">
      <c r="B275" s="163" t="s">
        <v>923</v>
      </c>
      <c r="C275" s="82"/>
    </row>
    <row r="276" spans="2:3" ht="13.2">
      <c r="B276" s="162" t="s">
        <v>922</v>
      </c>
      <c r="C276" s="82"/>
    </row>
    <row r="277" spans="2:3" ht="13.2">
      <c r="B277" s="82" t="s">
        <v>921</v>
      </c>
      <c r="C277" s="82"/>
    </row>
    <row r="278" spans="2:3" ht="13.2">
      <c r="B278" s="162" t="s">
        <v>920</v>
      </c>
      <c r="C278" s="82"/>
    </row>
    <row r="280" spans="2:3" ht="13.2">
      <c r="B280" s="79" t="s">
        <v>919</v>
      </c>
      <c r="C280" s="79"/>
    </row>
    <row r="281" spans="2:3" ht="13.2">
      <c r="B281" s="80" t="s">
        <v>817</v>
      </c>
      <c r="C281" s="80"/>
    </row>
    <row r="282" spans="2:3" ht="13.2">
      <c r="B282" s="82" t="s">
        <v>918</v>
      </c>
      <c r="C282" s="82"/>
    </row>
    <row r="283" spans="2:3" ht="13.2">
      <c r="B283" s="82" t="s">
        <v>917</v>
      </c>
      <c r="C283" s="82"/>
    </row>
    <row r="284" spans="2:3" ht="13.2">
      <c r="B284" s="82" t="s">
        <v>916</v>
      </c>
      <c r="C284" s="82"/>
    </row>
    <row r="285" spans="2:3" ht="13.2">
      <c r="B285" s="82" t="s">
        <v>915</v>
      </c>
      <c r="C285" s="82"/>
    </row>
    <row r="286" spans="2:3" ht="13.2">
      <c r="B286" s="78" t="s">
        <v>914</v>
      </c>
      <c r="C286" s="78"/>
    </row>
    <row r="288" spans="2:3" ht="13.2">
      <c r="B288" s="80" t="s">
        <v>808</v>
      </c>
      <c r="C288" s="80"/>
    </row>
    <row r="289" spans="2:3" ht="13.2">
      <c r="B289" s="82" t="s">
        <v>913</v>
      </c>
      <c r="C289" s="82"/>
    </row>
    <row r="290" spans="2:3" ht="13.2">
      <c r="B290" s="82" t="s">
        <v>912</v>
      </c>
      <c r="C290" s="82"/>
    </row>
    <row r="291" spans="2:3" ht="13.2">
      <c r="B291" s="82" t="s">
        <v>911</v>
      </c>
      <c r="C291" s="82"/>
    </row>
    <row r="292" spans="2:3" ht="13.2">
      <c r="B292" s="82" t="s">
        <v>910</v>
      </c>
      <c r="C292" s="82"/>
    </row>
    <row r="294" spans="2:3" ht="13.2">
      <c r="B294" s="79" t="s">
        <v>909</v>
      </c>
      <c r="C294" s="79"/>
    </row>
    <row r="295" spans="2:3" ht="13.2">
      <c r="B295" s="80" t="s">
        <v>908</v>
      </c>
      <c r="C295" s="80"/>
    </row>
    <row r="296" spans="2:3" ht="13.2">
      <c r="B296" s="82" t="s">
        <v>907</v>
      </c>
      <c r="C296" s="82"/>
    </row>
    <row r="297" spans="2:3" ht="13.2">
      <c r="B297" s="82" t="s">
        <v>906</v>
      </c>
      <c r="C297" s="82"/>
    </row>
    <row r="298" spans="2:3" ht="13.2">
      <c r="B298" s="82" t="s">
        <v>905</v>
      </c>
      <c r="C298" s="82"/>
    </row>
    <row r="299" spans="2:3" ht="13.2">
      <c r="B299" s="82" t="s">
        <v>904</v>
      </c>
      <c r="C299" s="82"/>
    </row>
    <row r="300" spans="2:3" ht="13.2">
      <c r="B300" s="82" t="s">
        <v>903</v>
      </c>
      <c r="C300" s="82"/>
    </row>
    <row r="302" spans="2:3" ht="13.2">
      <c r="B302" s="79" t="s">
        <v>902</v>
      </c>
      <c r="C302" s="79"/>
    </row>
    <row r="303" spans="2:3" ht="13.2">
      <c r="B303" s="80" t="s">
        <v>817</v>
      </c>
      <c r="C303" s="80"/>
    </row>
    <row r="304" spans="2:3" ht="13.2">
      <c r="B304" s="82" t="s">
        <v>901</v>
      </c>
      <c r="C304" s="82"/>
    </row>
    <row r="305" spans="2:4" ht="13.2">
      <c r="B305" s="82" t="s">
        <v>900</v>
      </c>
      <c r="C305" s="82"/>
    </row>
    <row r="306" spans="2:4" ht="13.2">
      <c r="B306" s="82" t="s">
        <v>899</v>
      </c>
      <c r="C306" s="82"/>
    </row>
    <row r="307" spans="2:4" ht="13.2">
      <c r="B307" s="82" t="s">
        <v>898</v>
      </c>
      <c r="C307" s="82"/>
    </row>
    <row r="308" spans="2:4" ht="13.2">
      <c r="B308" s="82" t="s">
        <v>897</v>
      </c>
      <c r="C308" s="82"/>
    </row>
    <row r="309" spans="2:4" ht="13.2">
      <c r="B309" s="82" t="s">
        <v>896</v>
      </c>
      <c r="C309" s="82"/>
    </row>
    <row r="311" spans="2:4" ht="13.2">
      <c r="B311" s="80" t="s">
        <v>808</v>
      </c>
      <c r="C311" s="80"/>
    </row>
    <row r="312" spans="2:4" ht="13.2">
      <c r="B312" s="78" t="s">
        <v>895</v>
      </c>
      <c r="C312" s="78"/>
    </row>
    <row r="313" spans="2:4" ht="13.2">
      <c r="B313" s="82" t="s">
        <v>894</v>
      </c>
      <c r="C313" s="82"/>
    </row>
    <row r="314" spans="2:4" ht="13.2">
      <c r="B314" s="82" t="s">
        <v>893</v>
      </c>
      <c r="C314" s="82"/>
    </row>
    <row r="315" spans="2:4" ht="13.2">
      <c r="B315" s="82" t="s">
        <v>892</v>
      </c>
      <c r="C315" s="82"/>
    </row>
    <row r="317" spans="2:4" ht="13.2">
      <c r="B317" s="79" t="s">
        <v>891</v>
      </c>
      <c r="C317" s="79"/>
    </row>
    <row r="318" spans="2:4" ht="13.2">
      <c r="B318" s="80" t="s">
        <v>845</v>
      </c>
      <c r="C318" s="80"/>
    </row>
    <row r="319" spans="2:4" ht="13.2">
      <c r="B319" s="82" t="s">
        <v>890</v>
      </c>
      <c r="C319" s="82"/>
    </row>
    <row r="320" spans="2:4" ht="13.2">
      <c r="B320" s="82" t="s">
        <v>889</v>
      </c>
      <c r="C320" s="82"/>
      <c r="D320" s="78" t="s">
        <v>888</v>
      </c>
    </row>
    <row r="321" spans="2:4" ht="13.2">
      <c r="B321" s="82" t="s">
        <v>887</v>
      </c>
      <c r="C321" s="82"/>
    </row>
    <row r="322" spans="2:4" ht="13.2">
      <c r="B322" s="78" t="s">
        <v>886</v>
      </c>
      <c r="C322" s="78"/>
    </row>
    <row r="323" spans="2:4" ht="15.75" customHeight="1">
      <c r="B323" s="84" t="s">
        <v>885</v>
      </c>
      <c r="C323" s="84"/>
      <c r="D323" s="82" t="s">
        <v>884</v>
      </c>
    </row>
    <row r="324" spans="2:4" ht="13.2">
      <c r="B324" s="78" t="s">
        <v>883</v>
      </c>
      <c r="C324" s="78"/>
    </row>
    <row r="326" spans="2:4" ht="13.2">
      <c r="B326" s="80" t="s">
        <v>817</v>
      </c>
      <c r="C326" s="80"/>
    </row>
    <row r="327" spans="2:4" ht="13.2">
      <c r="B327" s="78" t="s">
        <v>882</v>
      </c>
      <c r="C327" s="78"/>
    </row>
    <row r="328" spans="2:4" ht="13.2">
      <c r="B328" s="82" t="s">
        <v>881</v>
      </c>
      <c r="C328" s="82"/>
    </row>
    <row r="329" spans="2:4" ht="13.2">
      <c r="B329" s="82" t="s">
        <v>880</v>
      </c>
      <c r="C329" s="82"/>
    </row>
    <row r="330" spans="2:4" ht="13.2">
      <c r="B330" s="82" t="s">
        <v>879</v>
      </c>
      <c r="C330" s="82"/>
    </row>
    <row r="331" spans="2:4" ht="13.2">
      <c r="B331" s="78" t="s">
        <v>878</v>
      </c>
      <c r="C331" s="78"/>
    </row>
    <row r="332" spans="2:4" ht="13.2">
      <c r="B332" s="82" t="s">
        <v>877</v>
      </c>
      <c r="C332" s="82"/>
      <c r="D332" s="82" t="s">
        <v>876</v>
      </c>
    </row>
    <row r="333" spans="2:4" ht="13.2">
      <c r="B333" s="78" t="s">
        <v>875</v>
      </c>
      <c r="C333" s="78"/>
    </row>
    <row r="335" spans="2:4" ht="13.2">
      <c r="B335" s="79" t="s">
        <v>874</v>
      </c>
      <c r="C335" s="79"/>
    </row>
    <row r="336" spans="2:4" ht="13.2">
      <c r="B336" s="80" t="s">
        <v>873</v>
      </c>
      <c r="C336" s="80"/>
    </row>
    <row r="337" spans="2:3" ht="13.2">
      <c r="B337" s="78" t="s">
        <v>872</v>
      </c>
      <c r="C337" s="78"/>
    </row>
    <row r="338" spans="2:3" ht="13.2">
      <c r="B338" s="82" t="s">
        <v>871</v>
      </c>
      <c r="C338" s="82"/>
    </row>
    <row r="339" spans="2:3" ht="13.2">
      <c r="B339" s="82" t="s">
        <v>870</v>
      </c>
      <c r="C339" s="82"/>
    </row>
    <row r="340" spans="2:3" ht="13.2">
      <c r="B340" s="82" t="s">
        <v>869</v>
      </c>
      <c r="C340" s="82"/>
    </row>
    <row r="341" spans="2:3" ht="13.2">
      <c r="B341" s="82" t="s">
        <v>868</v>
      </c>
      <c r="C341" s="82"/>
    </row>
    <row r="342" spans="2:3" ht="13.2">
      <c r="B342" s="78" t="s">
        <v>867</v>
      </c>
      <c r="C342" s="78"/>
    </row>
    <row r="343" spans="2:3" ht="13.2">
      <c r="B343" s="82" t="s">
        <v>866</v>
      </c>
      <c r="C343" s="82"/>
    </row>
    <row r="345" spans="2:3" ht="13.2">
      <c r="B345" s="79" t="s">
        <v>865</v>
      </c>
      <c r="C345" s="79"/>
    </row>
    <row r="346" spans="2:3" ht="13.2">
      <c r="B346" s="80" t="s">
        <v>845</v>
      </c>
      <c r="C346" s="80"/>
    </row>
    <row r="347" spans="2:3" ht="13.2">
      <c r="B347" s="78" t="s">
        <v>864</v>
      </c>
      <c r="C347" s="78"/>
    </row>
    <row r="348" spans="2:3" ht="13.2">
      <c r="B348" s="82" t="s">
        <v>863</v>
      </c>
      <c r="C348" s="82"/>
    </row>
    <row r="349" spans="2:3" ht="13.2">
      <c r="B349" s="78"/>
      <c r="C349" s="78"/>
    </row>
    <row r="350" spans="2:3" ht="13.2">
      <c r="B350" s="80" t="s">
        <v>817</v>
      </c>
      <c r="C350" s="80"/>
    </row>
    <row r="351" spans="2:3" ht="13.2">
      <c r="B351" s="82" t="s">
        <v>862</v>
      </c>
      <c r="C351" s="82"/>
    </row>
    <row r="352" spans="2:3" ht="13.2">
      <c r="B352" s="82" t="s">
        <v>861</v>
      </c>
      <c r="C352" s="82"/>
    </row>
    <row r="353" spans="2:3" ht="13.2">
      <c r="B353" s="82" t="s">
        <v>860</v>
      </c>
      <c r="C353" s="82"/>
    </row>
    <row r="354" spans="2:3" ht="13.2">
      <c r="B354" s="82" t="s">
        <v>859</v>
      </c>
      <c r="C354" s="82"/>
    </row>
    <row r="355" spans="2:3" ht="13.2">
      <c r="B355" s="82" t="s">
        <v>858</v>
      </c>
      <c r="C355" s="82"/>
    </row>
    <row r="356" spans="2:3" ht="13.2">
      <c r="B356" s="82" t="s">
        <v>857</v>
      </c>
      <c r="C356" s="82"/>
    </row>
    <row r="357" spans="2:3" ht="13.2">
      <c r="B357" s="82" t="s">
        <v>856</v>
      </c>
      <c r="C357" s="82"/>
    </row>
    <row r="358" spans="2:3" ht="13.2">
      <c r="B358" s="82" t="s">
        <v>855</v>
      </c>
      <c r="C358" s="82"/>
    </row>
    <row r="359" spans="2:3" ht="13.2">
      <c r="B359" s="82" t="s">
        <v>854</v>
      </c>
      <c r="C359" s="82"/>
    </row>
    <row r="360" spans="2:3" ht="13.2">
      <c r="B360" s="82" t="s">
        <v>853</v>
      </c>
      <c r="C360" s="82"/>
    </row>
    <row r="361" spans="2:3" ht="13.2">
      <c r="B361" s="82" t="s">
        <v>852</v>
      </c>
      <c r="C361" s="82"/>
    </row>
    <row r="362" spans="2:3" ht="13.2">
      <c r="B362" s="78" t="s">
        <v>851</v>
      </c>
      <c r="C362" s="78"/>
    </row>
    <row r="363" spans="2:3" ht="13.2">
      <c r="B363" s="82" t="s">
        <v>850</v>
      </c>
      <c r="C363" s="82"/>
    </row>
    <row r="364" spans="2:3" ht="13.2">
      <c r="B364" s="82" t="s">
        <v>849</v>
      </c>
      <c r="C364" s="82"/>
    </row>
    <row r="366" spans="2:3" ht="13.2">
      <c r="B366" s="79" t="s">
        <v>848</v>
      </c>
      <c r="C366" s="79"/>
    </row>
    <row r="367" spans="2:3" ht="13.2">
      <c r="B367" s="82" t="s">
        <v>847</v>
      </c>
      <c r="C367" s="82"/>
    </row>
    <row r="369" spans="2:3" ht="13.2">
      <c r="B369" s="79" t="s">
        <v>846</v>
      </c>
      <c r="C369" s="79"/>
    </row>
    <row r="370" spans="2:3" ht="13.2">
      <c r="B370" s="83" t="s">
        <v>845</v>
      </c>
      <c r="C370" s="83"/>
    </row>
    <row r="371" spans="2:3" ht="13.2">
      <c r="B371" s="77" t="s">
        <v>844</v>
      </c>
    </row>
    <row r="372" spans="2:3" ht="13.2">
      <c r="B372" s="77" t="s">
        <v>843</v>
      </c>
    </row>
    <row r="373" spans="2:3" ht="13.2">
      <c r="B373" s="78" t="s">
        <v>842</v>
      </c>
      <c r="C373" s="78"/>
    </row>
    <row r="374" spans="2:3" ht="13.2">
      <c r="B374" s="78" t="s">
        <v>841</v>
      </c>
      <c r="C374" s="78"/>
    </row>
    <row r="375" spans="2:3" ht="13.2">
      <c r="B375" s="78" t="s">
        <v>840</v>
      </c>
      <c r="C375" s="78"/>
    </row>
    <row r="376" spans="2:3" ht="13.2">
      <c r="B376" s="78" t="s">
        <v>839</v>
      </c>
      <c r="C376" s="78"/>
    </row>
    <row r="377" spans="2:3" ht="13.2">
      <c r="B377" s="78" t="s">
        <v>838</v>
      </c>
      <c r="C377" s="78"/>
    </row>
    <row r="378" spans="2:3" ht="13.2">
      <c r="B378" s="78" t="s">
        <v>837</v>
      </c>
      <c r="C378" s="78"/>
    </row>
    <row r="379" spans="2:3" ht="13.2">
      <c r="B379" s="78" t="s">
        <v>836</v>
      </c>
      <c r="C379" s="78"/>
    </row>
    <row r="380" spans="2:3" ht="13.2">
      <c r="B380" s="78" t="s">
        <v>835</v>
      </c>
      <c r="C380" s="78"/>
    </row>
    <row r="381" spans="2:3" ht="13.2">
      <c r="B381" s="78" t="s">
        <v>834</v>
      </c>
      <c r="C381" s="78"/>
    </row>
    <row r="382" spans="2:3" ht="13.2">
      <c r="B382" s="78" t="s">
        <v>833</v>
      </c>
      <c r="C382" s="78"/>
    </row>
    <row r="384" spans="2:3" ht="13.2">
      <c r="B384" s="80" t="s">
        <v>817</v>
      </c>
      <c r="C384" s="80"/>
    </row>
    <row r="385" spans="2:3" ht="13.2">
      <c r="B385" s="82" t="s">
        <v>832</v>
      </c>
      <c r="C385" s="82"/>
    </row>
    <row r="386" spans="2:3" ht="13.2">
      <c r="B386" s="82" t="s">
        <v>831</v>
      </c>
      <c r="C386" s="82"/>
    </row>
    <row r="387" spans="2:3" ht="13.2">
      <c r="B387" s="82" t="s">
        <v>830</v>
      </c>
      <c r="C387" s="82"/>
    </row>
    <row r="388" spans="2:3" ht="13.2">
      <c r="B388" s="82" t="s">
        <v>829</v>
      </c>
      <c r="C388" s="82"/>
    </row>
    <row r="389" spans="2:3" ht="13.2">
      <c r="B389" s="78" t="s">
        <v>828</v>
      </c>
      <c r="C389" s="78"/>
    </row>
    <row r="390" spans="2:3" ht="13.2">
      <c r="B390" s="78" t="s">
        <v>827</v>
      </c>
      <c r="C390" s="78"/>
    </row>
    <row r="391" spans="2:3" ht="13.2">
      <c r="B391" s="82" t="s">
        <v>826</v>
      </c>
      <c r="C391" s="82"/>
    </row>
    <row r="392" spans="2:3" ht="13.2">
      <c r="B392" s="78" t="s">
        <v>825</v>
      </c>
      <c r="C392" s="78"/>
    </row>
    <row r="393" spans="2:3" ht="13.2">
      <c r="B393" s="82" t="s">
        <v>824</v>
      </c>
      <c r="C393" s="82"/>
    </row>
    <row r="394" spans="2:3" ht="13.2">
      <c r="B394" s="82" t="s">
        <v>823</v>
      </c>
      <c r="C394" s="82"/>
    </row>
    <row r="395" spans="2:3" ht="13.2">
      <c r="B395" s="82" t="s">
        <v>822</v>
      </c>
      <c r="C395" s="82"/>
    </row>
    <row r="396" spans="2:3" ht="13.2">
      <c r="B396" s="82" t="s">
        <v>821</v>
      </c>
      <c r="C396" s="82"/>
    </row>
    <row r="397" spans="2:3" ht="13.2">
      <c r="B397" s="82" t="s">
        <v>820</v>
      </c>
      <c r="C397" s="82"/>
    </row>
    <row r="399" spans="2:3" ht="13.2">
      <c r="B399" s="80" t="s">
        <v>808</v>
      </c>
      <c r="C399" s="80"/>
    </row>
    <row r="400" spans="2:3" ht="13.2">
      <c r="B400" s="78" t="s">
        <v>807</v>
      </c>
      <c r="C400" s="78"/>
    </row>
    <row r="401" spans="2:3" ht="13.2">
      <c r="B401" s="82" t="s">
        <v>819</v>
      </c>
      <c r="C401" s="82"/>
    </row>
    <row r="403" spans="2:3" ht="13.2">
      <c r="B403" s="79" t="s">
        <v>818</v>
      </c>
      <c r="C403" s="79"/>
    </row>
    <row r="404" spans="2:3" ht="13.2">
      <c r="B404" s="80" t="s">
        <v>817</v>
      </c>
      <c r="C404" s="80"/>
    </row>
    <row r="405" spans="2:3" ht="13.2">
      <c r="B405" s="82" t="s">
        <v>816</v>
      </c>
      <c r="C405" s="82"/>
    </row>
    <row r="406" spans="2:3" ht="13.2">
      <c r="B406" s="82" t="s">
        <v>815</v>
      </c>
      <c r="C406" s="82"/>
    </row>
    <row r="407" spans="2:3" ht="13.2">
      <c r="B407" s="82" t="s">
        <v>814</v>
      </c>
      <c r="C407" s="82"/>
    </row>
    <row r="408" spans="2:3" ht="13.2">
      <c r="B408" s="82" t="s">
        <v>813</v>
      </c>
      <c r="C408" s="82"/>
    </row>
    <row r="409" spans="2:3" ht="13.2">
      <c r="B409" s="82" t="s">
        <v>812</v>
      </c>
      <c r="C409" s="82"/>
    </row>
    <row r="410" spans="2:3" ht="13.2">
      <c r="B410" s="82" t="s">
        <v>811</v>
      </c>
      <c r="C410" s="82"/>
    </row>
    <row r="411" spans="2:3" ht="13.2">
      <c r="B411" s="82" t="s">
        <v>810</v>
      </c>
      <c r="C411" s="82"/>
    </row>
    <row r="412" spans="2:3" ht="13.2">
      <c r="B412" s="82" t="s">
        <v>809</v>
      </c>
      <c r="C412" s="82"/>
    </row>
    <row r="414" spans="2:3" ht="13.2">
      <c r="B414" s="80" t="s">
        <v>808</v>
      </c>
      <c r="C414" s="80"/>
    </row>
    <row r="415" spans="2:3" ht="13.2">
      <c r="B415" s="82" t="s">
        <v>807</v>
      </c>
      <c r="C415" s="82"/>
    </row>
    <row r="416" spans="2:3" ht="13.2">
      <c r="B416" s="82" t="s">
        <v>806</v>
      </c>
      <c r="C416" s="82"/>
    </row>
    <row r="417" spans="2:3" ht="13.2">
      <c r="B417" s="82" t="s">
        <v>805</v>
      </c>
      <c r="C417" s="82"/>
    </row>
    <row r="418" spans="2:3" ht="13.2">
      <c r="B418" s="82" t="s">
        <v>804</v>
      </c>
      <c r="C418" s="82"/>
    </row>
    <row r="419" spans="2:3" ht="13.2">
      <c r="B419" s="78" t="s">
        <v>803</v>
      </c>
      <c r="C419" s="78"/>
    </row>
    <row r="420" spans="2:3" ht="13.2">
      <c r="B420" s="82" t="s">
        <v>802</v>
      </c>
      <c r="C420" s="82"/>
    </row>
    <row r="421" spans="2:3" ht="13.2">
      <c r="B421" s="82" t="s">
        <v>801</v>
      </c>
      <c r="C421" s="82"/>
    </row>
    <row r="422" spans="2:3" ht="13.2">
      <c r="B422" s="82" t="s">
        <v>800</v>
      </c>
      <c r="C422" s="82"/>
    </row>
    <row r="423" spans="2:3" ht="13.2">
      <c r="B423" s="82" t="s">
        <v>799</v>
      </c>
      <c r="C423" s="82"/>
    </row>
    <row r="425" spans="2:3" ht="13.2">
      <c r="B425" s="79" t="s">
        <v>798</v>
      </c>
      <c r="C425" s="79"/>
    </row>
    <row r="426" spans="2:3" ht="13.2">
      <c r="B426" s="80" t="s">
        <v>797</v>
      </c>
      <c r="C426" s="80"/>
    </row>
    <row r="427" spans="2:3" ht="13.2">
      <c r="B427" s="82" t="s">
        <v>796</v>
      </c>
      <c r="C427" s="82"/>
    </row>
    <row r="428" spans="2:3" ht="13.2">
      <c r="B428" s="82" t="s">
        <v>795</v>
      </c>
      <c r="C428" s="82"/>
    </row>
    <row r="429" spans="2:3" ht="13.2">
      <c r="B429" s="82" t="s">
        <v>794</v>
      </c>
      <c r="C429" s="82"/>
    </row>
    <row r="430" spans="2:3" ht="13.2">
      <c r="B430" s="81" t="s">
        <v>793</v>
      </c>
      <c r="C430" s="81"/>
    </row>
    <row r="431" spans="2:3" ht="13.2">
      <c r="B431" s="80"/>
      <c r="C431" s="80"/>
    </row>
    <row r="432" spans="2:3" ht="13.2">
      <c r="B432" s="79" t="s">
        <v>792</v>
      </c>
      <c r="C432" s="79"/>
    </row>
    <row r="433" spans="2:3" ht="13.2">
      <c r="B433" s="78" t="s">
        <v>791</v>
      </c>
      <c r="C433" s="78"/>
    </row>
    <row r="434" spans="2:3" ht="13.2">
      <c r="B434" s="79" t="s">
        <v>790</v>
      </c>
      <c r="C434" s="79"/>
    </row>
    <row r="435" spans="2:3" ht="13.2">
      <c r="B435" s="78" t="s">
        <v>789</v>
      </c>
      <c r="C435" s="78"/>
    </row>
  </sheetData>
  <hyperlinks>
    <hyperlink ref="B10" r:id="rId1" xr:uid="{9D8AD96D-05CE-4B8A-9604-79B2C4CA6971}"/>
    <hyperlink ref="D10" r:id="rId2" xr:uid="{6D9B84AD-7854-41BE-AE52-3F090419742A}"/>
    <hyperlink ref="B11" r:id="rId3" xr:uid="{C3393DD5-689B-48A4-A510-C13B9720232F}"/>
    <hyperlink ref="D11" r:id="rId4" xr:uid="{A16CD41A-2DE4-4827-8F52-372207A3AEBD}"/>
    <hyperlink ref="B12" r:id="rId5" xr:uid="{FA7AE46A-C755-4FCB-B2C1-31C433C31AC3}"/>
    <hyperlink ref="D12" r:id="rId6" xr:uid="{D0C04B33-64FC-46EE-88F4-1D5D0E8E0885}"/>
    <hyperlink ref="B13" r:id="rId7" xr:uid="{357E7EB8-5BE9-4E55-A42F-41D0DF8C4E78}"/>
    <hyperlink ref="D13" r:id="rId8" xr:uid="{DE0A70CE-6C62-4C31-861E-F1A9E418E196}"/>
    <hyperlink ref="B14" r:id="rId9" xr:uid="{8BA786DE-9DF6-469D-BA6F-FFACC0CD03AE}"/>
    <hyperlink ref="D14" r:id="rId10" xr:uid="{A70E28A0-2792-41BC-A5CB-3697F08EDB50}"/>
    <hyperlink ref="B15" r:id="rId11" xr:uid="{2F4B5A30-EA4A-47CF-810C-8CD9D948B200}"/>
    <hyperlink ref="D15" r:id="rId12" xr:uid="{C3874824-188E-41B2-AAA4-26E5895892A6}"/>
    <hyperlink ref="B16" r:id="rId13" xr:uid="{27411BC0-836F-4ECB-8B72-518A89863C22}"/>
    <hyperlink ref="D16" r:id="rId14" xr:uid="{9FCF352B-2575-4E95-B217-7CE9CF672170}"/>
    <hyperlink ref="B17" r:id="rId15" xr:uid="{E53E805B-7C8A-4217-ABBD-B77071D0D460}"/>
    <hyperlink ref="D17" r:id="rId16" xr:uid="{8F146524-DA4C-495D-8FE6-C68FF938E9C7}"/>
    <hyperlink ref="B18" r:id="rId17" xr:uid="{F61C30BB-1028-490A-8CDA-FC302A2280E8}"/>
    <hyperlink ref="D18" r:id="rId18" xr:uid="{514D7BB9-40B8-474F-B5F8-14065AACAE78}"/>
    <hyperlink ref="B19" r:id="rId19" xr:uid="{7DC5E8EF-1CA3-4F66-9CD3-F3B4D4E39D0B}"/>
    <hyperlink ref="D19" r:id="rId20" xr:uid="{58BE48D4-C663-4C6C-ABC1-3FFD7E87E1E5}"/>
    <hyperlink ref="B20" r:id="rId21" xr:uid="{5D1476E3-3A1F-433D-ADBC-F5D0A7D6F2EE}"/>
    <hyperlink ref="D20" r:id="rId22" xr:uid="{0280ACF3-5CEF-4F8D-A2B0-4B3081FB4474}"/>
    <hyperlink ref="B21" r:id="rId23" xr:uid="{2862D753-C226-4BB4-8B03-B7532AFA7D22}"/>
    <hyperlink ref="D21" r:id="rId24" xr:uid="{BD8FD55A-5E92-499B-8167-75A6CA2DA256}"/>
    <hyperlink ref="B24" r:id="rId25" xr:uid="{3780578B-2B27-4469-A180-C3B6265F9289}"/>
    <hyperlink ref="D24" r:id="rId26" xr:uid="{D07EEF62-EE00-4998-8FB4-00B0C9715FA7}"/>
    <hyperlink ref="B25" r:id="rId27" xr:uid="{EE3556D7-72A6-42FE-B968-22284E015326}"/>
    <hyperlink ref="D25" r:id="rId28" xr:uid="{0DF1867E-D752-4949-B0E7-572E4DDCCA6A}"/>
    <hyperlink ref="B26" r:id="rId29" xr:uid="{E2B41BD0-8068-46F4-9408-87C78871C157}"/>
    <hyperlink ref="D26" r:id="rId30" xr:uid="{8C98FDD1-472C-49B1-839E-2B5E354F2678}"/>
    <hyperlink ref="B27" r:id="rId31" xr:uid="{B617A02C-BB73-495E-A301-446D0111AC2B}"/>
    <hyperlink ref="D27" r:id="rId32" xr:uid="{064B47E4-B8CB-443D-B6AB-ECA7702498CF}"/>
    <hyperlink ref="B28" r:id="rId33" xr:uid="{03C42681-4DB4-4020-AC00-D3D3EE2A481B}"/>
    <hyperlink ref="D28" r:id="rId34" xr:uid="{E6AC484F-E3A2-43B8-A51B-317D4C0D3C44}"/>
    <hyperlink ref="B29" r:id="rId35" xr:uid="{57C4AE1D-58F0-4747-8A41-FCA59B904589}"/>
    <hyperlink ref="B30" r:id="rId36" xr:uid="{0DDF59CC-C4BD-4F70-952D-5DBD3ABDFB0C}"/>
    <hyperlink ref="B31" r:id="rId37" xr:uid="{79CD7732-1551-4271-AC49-51F6E2E055B0}"/>
    <hyperlink ref="B32" r:id="rId38" xr:uid="{67CB291E-CF66-41E7-B050-20E8ACAB45FB}"/>
    <hyperlink ref="B33" r:id="rId39" xr:uid="{A831DFC3-ED77-4FF1-87AF-9B1AAE4A2397}"/>
    <hyperlink ref="B34" r:id="rId40" xr:uid="{AF0E8F34-3C44-4B2E-A8F9-706247CC45CC}"/>
    <hyperlink ref="B35" r:id="rId41" xr:uid="{C69F00C7-75EE-4545-BCF0-D1A65D348E0B}"/>
    <hyperlink ref="B36" r:id="rId42" xr:uid="{3B4547CA-34D0-485A-A2B9-7BD30383340D}"/>
    <hyperlink ref="B37" r:id="rId43" xr:uid="{54E677BA-82D9-4FF7-9419-27047D0008D2}"/>
    <hyperlink ref="D37" r:id="rId44" xr:uid="{0D0F4680-99C5-448A-88AD-E5D963D04B59}"/>
    <hyperlink ref="B38" r:id="rId45" xr:uid="{AE85C347-D35B-430B-9272-A7D0F5D7ACAD}"/>
    <hyperlink ref="B39" r:id="rId46" xr:uid="{319A7595-B218-4F85-BDC1-EE270C0A7018}"/>
    <hyperlink ref="D39" r:id="rId47" xr:uid="{D4B3617F-DDA3-4EA3-BB2F-BF844486620D}"/>
    <hyperlink ref="B40" r:id="rId48" xr:uid="{B687FD63-2A84-4715-B55C-E9FC66289308}"/>
    <hyperlink ref="D40" r:id="rId49" xr:uid="{850A19B7-3971-45C2-87F0-CE0A1A752055}"/>
    <hyperlink ref="B41" r:id="rId50" xr:uid="{67F67FDE-15E0-4465-ABAC-9038EA8D8427}"/>
    <hyperlink ref="B42" r:id="rId51" xr:uid="{7B628382-EF03-41DE-BCB3-7098AA4EEC3F}"/>
    <hyperlink ref="B43" r:id="rId52" xr:uid="{50540C38-A559-4626-9614-D330FECFCD95}"/>
    <hyperlink ref="B44" r:id="rId53" xr:uid="{982CFAB6-9A2C-4F5A-BDA1-B9281E2980F8}"/>
    <hyperlink ref="B45" r:id="rId54" xr:uid="{DC7566BA-C13A-48B2-B7E4-0100C397B34B}"/>
    <hyperlink ref="B46" r:id="rId55" xr:uid="{D72CE977-3BF9-4ADA-85E4-D9C471323735}"/>
    <hyperlink ref="D46" r:id="rId56" xr:uid="{84FA18C2-8D74-4599-89A4-A4EA6DEF6525}"/>
    <hyperlink ref="B47" r:id="rId57" xr:uid="{9AB01496-2703-42CF-A7A1-FEEED4738877}"/>
    <hyperlink ref="B48" r:id="rId58" xr:uid="{6C2EEF55-0ED6-423E-9FED-0FD40F5A6276}"/>
    <hyperlink ref="B49" r:id="rId59" xr:uid="{43724EE0-03A9-4669-93C5-F64AC7D194D1}"/>
    <hyperlink ref="B52" r:id="rId60" xr:uid="{107C9349-27CD-401F-B19E-9347D1B29738}"/>
    <hyperlink ref="B53" r:id="rId61" xr:uid="{4EC2BD41-724E-477F-941C-72CB43E1B592}"/>
    <hyperlink ref="B54" r:id="rId62" xr:uid="{315F6D4E-7EBF-4082-AD09-09DF1B1B2A4E}"/>
    <hyperlink ref="B55" r:id="rId63" xr:uid="{A4B72AD9-8822-4B8A-A9CF-F79680EF5C32}"/>
    <hyperlink ref="D55" r:id="rId64" xr:uid="{E2E92D6E-2934-4275-B2E6-E494A2914EB6}"/>
    <hyperlink ref="B56" r:id="rId65" xr:uid="{EB58081E-1259-4C3E-90F2-C4F8FDE036D2}"/>
    <hyperlink ref="D56" r:id="rId66" xr:uid="{4C4AF28C-2E31-4B83-B9BA-266F8B893149}"/>
    <hyperlink ref="B60" r:id="rId67" xr:uid="{7AD138D6-3FDE-494A-AA54-C5FB15248DAF}"/>
    <hyperlink ref="B61" r:id="rId68" xr:uid="{41C1A5DF-E49A-4B06-8A98-546BBCF386B2}"/>
    <hyperlink ref="B62" r:id="rId69" xr:uid="{0C4AE621-32B2-4D84-8AB7-530F65653A3B}"/>
    <hyperlink ref="D62" r:id="rId70" xr:uid="{484D8DE5-7BA3-4F9D-980D-D7075B6FC3FF}"/>
    <hyperlink ref="B63" r:id="rId71" xr:uid="{5C52CFAB-58CA-4C33-9564-79E5905B10D6}"/>
    <hyperlink ref="B66" r:id="rId72" xr:uid="{EC019C0D-7781-497F-9CEC-10349AF884A1}"/>
    <hyperlink ref="D66" r:id="rId73" xr:uid="{F89B8A81-4A43-4FEF-B694-294D1CECC4CD}"/>
    <hyperlink ref="B67" r:id="rId74" xr:uid="{59CE7D81-B55E-4E54-926C-3CDBDE75665A}"/>
    <hyperlink ref="D67" r:id="rId75" xr:uid="{B08CECB8-2400-4788-AF7C-A7109A66903A}"/>
    <hyperlink ref="B68" r:id="rId76" xr:uid="{0841D2E0-5949-43E7-BBB2-C28B4BE07D19}"/>
    <hyperlink ref="B69" r:id="rId77" xr:uid="{5DA19CB4-8F22-4CEB-BC11-4196854A9F8E}"/>
    <hyperlink ref="B70" r:id="rId78" xr:uid="{83B82162-4A7B-4FC5-9C7A-B5EB12F056CA}"/>
    <hyperlink ref="B71" r:id="rId79" xr:uid="{AD597B92-E2E1-4733-B69C-45C6957FFA02}"/>
    <hyperlink ref="B72" r:id="rId80" xr:uid="{6E493178-D127-4EC5-945D-3D618D41613C}"/>
    <hyperlink ref="B73" r:id="rId81" xr:uid="{4920CBCC-8DE4-470E-877D-9929B629DF48}"/>
    <hyperlink ref="B74" r:id="rId82" xr:uid="{9C648737-6384-447C-AE3B-F4770DE5CDE3}"/>
    <hyperlink ref="D74" r:id="rId83" xr:uid="{DB1CE2B1-7E87-4B0F-8A2A-F4AF34766C42}"/>
    <hyperlink ref="B75" r:id="rId84" xr:uid="{1AF159C6-49A1-441F-A617-A2155612F1D7}"/>
    <hyperlink ref="B76" r:id="rId85" xr:uid="{A3775FD1-75F2-4651-B37A-25897F8DE4DA}"/>
    <hyperlink ref="B77" r:id="rId86" xr:uid="{99154398-EA95-4E9F-A12E-F9D241011EE0}"/>
    <hyperlink ref="B78" r:id="rId87" xr:uid="{DAA18C79-A92D-46B4-BC9C-3356D43104ED}"/>
    <hyperlink ref="B79" r:id="rId88" xr:uid="{05159607-5ECA-4D2F-AE50-AF2C76D81537}"/>
    <hyperlink ref="B80" r:id="rId89" xr:uid="{7AAE9C0B-7960-4393-9F4F-9ABEA28384CA}"/>
    <hyperlink ref="B81" r:id="rId90" xr:uid="{AFEB3304-767C-4B7F-8C2D-709378C7CF2B}"/>
    <hyperlink ref="B84" r:id="rId91" xr:uid="{6E5419D9-3847-45F3-AB29-3FAFC89CDEB8}"/>
    <hyperlink ref="B85" r:id="rId92" xr:uid="{26D70829-2439-402D-BBBE-1577EF2B0222}"/>
    <hyperlink ref="B86" r:id="rId93" xr:uid="{B7EAA0D2-5B2F-4E52-B4CE-646A147BF400}"/>
    <hyperlink ref="B87" r:id="rId94" xr:uid="{F53B454C-EC0A-45BB-82ED-7E0BBBF39F4B}"/>
    <hyperlink ref="B88" r:id="rId95" xr:uid="{46E400CA-5348-4AD8-8A80-82A2FD8A5F3C}"/>
    <hyperlink ref="B89" r:id="rId96" xr:uid="{D8F33F26-D4D0-4489-8DBF-4F0CBC445D6F}"/>
    <hyperlink ref="B90" r:id="rId97" xr:uid="{D9D8C6ED-D458-42E2-98DB-BBC599D44F35}"/>
    <hyperlink ref="B91" r:id="rId98" xr:uid="{1A28C0BD-99B3-4729-99F5-D33BF707A2BD}"/>
    <hyperlink ref="B92" r:id="rId99" xr:uid="{170559A8-E693-4E36-8DAD-2BE40103A992}"/>
    <hyperlink ref="D92" r:id="rId100" xr:uid="{D0765891-0291-4728-93A9-991654DAF636}"/>
    <hyperlink ref="B93" r:id="rId101" xr:uid="{6CF04E53-DC4C-4A5D-B646-FE33676D6BD5}"/>
    <hyperlink ref="B94" r:id="rId102" xr:uid="{8FCD41E6-A36E-4B15-895E-B1BFF0D1FC67}"/>
    <hyperlink ref="B95" r:id="rId103" xr:uid="{74C09B5E-0424-432F-8C6A-CFDF6B02EB81}"/>
    <hyperlink ref="B96" r:id="rId104" xr:uid="{EDDE64DC-3072-43DD-99B6-4B11A36D280F}"/>
    <hyperlink ref="B97" r:id="rId105" xr:uid="{9669AAE6-3365-4DB2-A8BC-EE21BF21BFF2}"/>
    <hyperlink ref="B98" r:id="rId106" xr:uid="{E9233C4E-6631-4DD5-B767-3283266CAF9F}"/>
    <hyperlink ref="B102" r:id="rId107" xr:uid="{E8FB85B3-0652-484C-A20D-5B8F49B492A7}"/>
    <hyperlink ref="B103" r:id="rId108" xr:uid="{83FC2ADE-DE20-47EF-AB02-CB5648A52BA2}"/>
    <hyperlink ref="B104" r:id="rId109" xr:uid="{8AD78D2D-4874-4300-827C-8F3D5628CCD5}"/>
    <hyperlink ref="B105" r:id="rId110" xr:uid="{4085A53D-6BBD-4EB9-A2AE-CD3933A824C2}"/>
    <hyperlink ref="B106" r:id="rId111" xr:uid="{BAE32E3E-B760-4A53-ABA9-E51536E15CA9}"/>
    <hyperlink ref="B109" r:id="rId112" xr:uid="{8366620A-D0C5-4A67-901C-B3C3F19B2991}"/>
    <hyperlink ref="B110" r:id="rId113" xr:uid="{EB731E67-3448-4768-A633-D41C35519F9D}"/>
    <hyperlink ref="B111" r:id="rId114" xr:uid="{B53D422C-A4B2-442A-A67D-DA43FA3CE7C3}"/>
    <hyperlink ref="B113" r:id="rId115" xr:uid="{7059FE27-0588-4ACF-86A4-470622CA663B}"/>
    <hyperlink ref="D113" r:id="rId116" xr:uid="{BBCF0D9F-971F-44E1-B19B-EEC87F8B30DB}"/>
    <hyperlink ref="B114" r:id="rId117" xr:uid="{19F2C964-D866-4370-982D-202FCDF0D7FD}"/>
    <hyperlink ref="B115" r:id="rId118" xr:uid="{BC8319B4-265A-4A4A-8C80-6516BDDA6FF4}"/>
    <hyperlink ref="B116" r:id="rId119" xr:uid="{3B25C5C6-E0BC-4556-BEE8-EFE446B3958A}"/>
    <hyperlink ref="B117" r:id="rId120" xr:uid="{35E1EEC0-7754-48F3-BDF5-B22E9A005A7A}"/>
    <hyperlink ref="B118" r:id="rId121" xr:uid="{5CCAC507-6DDB-4ECD-9DB0-D70F8B9E3675}"/>
    <hyperlink ref="B119" r:id="rId122" xr:uid="{F38D97A9-0B2E-420C-A5C6-355B93D18D07}"/>
    <hyperlink ref="B122" r:id="rId123" xr:uid="{C15C3F2E-AFF3-4550-9AAB-E6B637E1140E}"/>
    <hyperlink ref="B123" r:id="rId124" xr:uid="{4832B6A8-4A84-44BA-A626-CBA7C7712FFA}"/>
    <hyperlink ref="B124" r:id="rId125" xr:uid="{03C19765-4D26-4CBF-88B3-9EB50511B89B}"/>
    <hyperlink ref="B125" r:id="rId126" xr:uid="{930C4B95-2964-4E0B-B2FF-1DE0BDB6AC5D}"/>
    <hyperlink ref="B126" r:id="rId127" xr:uid="{CB939D51-58C4-4D24-B0CD-8725229C21B2}"/>
    <hyperlink ref="B127" r:id="rId128" xr:uid="{4752FCFD-232F-40EC-B331-FCA70B83B362}"/>
    <hyperlink ref="B128" r:id="rId129" xr:uid="{0663D7CD-27B5-4D40-AA38-EE06F9B988E0}"/>
    <hyperlink ref="B132" r:id="rId130" xr:uid="{D837E90C-959B-42D8-9DBC-983E17C2ACD6}"/>
    <hyperlink ref="B133" r:id="rId131" xr:uid="{B4DAA587-EB51-4A6C-8B7D-2425163A0387}"/>
    <hyperlink ref="B134" r:id="rId132" xr:uid="{38A24370-0919-4A2F-A07A-86F7C39C7622}"/>
    <hyperlink ref="B135" r:id="rId133" xr:uid="{9495A64B-FBBD-499B-8E92-D034B5B78A1E}"/>
    <hyperlink ref="B136" r:id="rId134" xr:uid="{5060BE80-96BA-4EF0-8AA0-772821C6A5B1}"/>
    <hyperlink ref="D136" r:id="rId135" xr:uid="{65B8F10F-AB2D-4E56-8F54-068C7DA6C20A}"/>
    <hyperlink ref="B137" r:id="rId136" xr:uid="{FD9DF656-0091-42FE-BF14-9D639F35FA2B}"/>
    <hyperlink ref="B138" r:id="rId137" xr:uid="{56CB92ED-01BF-493C-8F22-4C9D6ED8CCB3}"/>
    <hyperlink ref="B139" r:id="rId138" xr:uid="{408543DE-52C2-455B-9D45-CA33EE5B2281}"/>
    <hyperlink ref="B140" r:id="rId139" xr:uid="{EDC1CF03-3472-4F01-83F0-7AF04EB2304C}"/>
    <hyperlink ref="B143" r:id="rId140" xr:uid="{543BFBD0-42E1-487E-AAEF-EFC7CAF4A55F}"/>
    <hyperlink ref="B144" r:id="rId141" xr:uid="{103195DF-164E-4B1C-A586-5A8A6F4F46D3}"/>
    <hyperlink ref="B145" r:id="rId142" xr:uid="{09ABB9EF-4BF7-4396-BA06-669C134BBC63}"/>
    <hyperlink ref="B146" r:id="rId143" xr:uid="{5F71F9E7-234B-4747-AD47-117DEEFA0D03}"/>
    <hyperlink ref="B147" r:id="rId144" xr:uid="{95E02526-9987-4DA3-BF76-F613EC767104}"/>
    <hyperlink ref="B148" r:id="rId145" xr:uid="{22B21A08-661C-4E0F-8DCE-D8844528C687}"/>
    <hyperlink ref="B149" r:id="rId146" xr:uid="{7C72AD90-294D-4ABE-B89B-A4ED73CBC7DB}"/>
    <hyperlink ref="B152" r:id="rId147" xr:uid="{E3441609-6757-4AFA-BE67-D3E90EF8580C}"/>
    <hyperlink ref="B153" r:id="rId148" xr:uid="{5AEDC8DB-5C4D-4B88-A5ED-6DF732747EC6}"/>
    <hyperlink ref="B154" r:id="rId149" xr:uid="{27A91EF7-1A09-4713-B1EB-9ADECEE2F962}"/>
    <hyperlink ref="B155" r:id="rId150" xr:uid="{8F823BEA-3EEF-4F7D-B2B7-38C80E25034D}"/>
    <hyperlink ref="B162" r:id="rId151" xr:uid="{80729A10-2605-42D3-8DB1-A3D95A8E46AD}"/>
    <hyperlink ref="B163" r:id="rId152" xr:uid="{243E628D-3172-4DC2-8A83-5AB19F516CAD}"/>
    <hyperlink ref="B164" r:id="rId153" xr:uid="{6CDADD29-6CBA-4DB8-B7E4-BBAD880979E5}"/>
    <hyperlink ref="B165" r:id="rId154" xr:uid="{8E4092E5-FD5A-4F65-91A1-BE67FBA5FD4E}"/>
    <hyperlink ref="B166" r:id="rId155" xr:uid="{960C3CD2-8341-41A2-A63B-09CEDCBD5C90}"/>
    <hyperlink ref="B167" r:id="rId156" xr:uid="{0E01B964-E4AE-43DB-A951-E9070023EAAC}"/>
    <hyperlink ref="B168" r:id="rId157" xr:uid="{B3D00884-4B4B-4259-A1BB-063675DAF63B}"/>
    <hyperlink ref="B169" r:id="rId158" xr:uid="{40BA9EDC-71A5-4B69-A411-8CC8327EDCE5}"/>
    <hyperlink ref="B172" r:id="rId159" xr:uid="{8917835D-9383-45DF-A6FC-13B21530093D}"/>
    <hyperlink ref="B173" r:id="rId160" xr:uid="{8DBB1B9D-C724-4708-99A5-6EF0B4E2E9BF}"/>
    <hyperlink ref="B174" r:id="rId161" xr:uid="{501737AB-F5D2-4F95-9968-BB64FF52C281}"/>
    <hyperlink ref="B178" r:id="rId162" xr:uid="{56457805-3363-4041-8D8C-402FAA336576}"/>
    <hyperlink ref="B179" r:id="rId163" xr:uid="{B15AF199-B7B8-4BE0-A71B-597D8AD40FA7}"/>
    <hyperlink ref="B180" r:id="rId164" xr:uid="{874DF986-04C7-4C49-AA33-B6DB02DD87D3}"/>
    <hyperlink ref="B181" r:id="rId165" xr:uid="{84894986-6C88-4FA5-AA9F-30127628AC1C}"/>
    <hyperlink ref="B182" r:id="rId166" xr:uid="{0F18553D-6B06-41D7-8C76-2C988EC63855}"/>
    <hyperlink ref="B183" r:id="rId167" xr:uid="{4595FD4B-B9FE-432F-8744-773B188A73DF}"/>
    <hyperlink ref="B184" r:id="rId168" xr:uid="{0E1797B1-09A9-4315-926C-1B10F48165FD}"/>
    <hyperlink ref="B185" r:id="rId169" xr:uid="{CCEE0ABA-4D1E-4759-8F92-9134F33A039A}"/>
    <hyperlink ref="B186" r:id="rId170" xr:uid="{0134BB8E-82A6-4587-BDCB-EC0FC96FB843}"/>
    <hyperlink ref="B189" r:id="rId171" xr:uid="{9C1E5CC5-53BA-4201-816D-C922BE7CB715}"/>
    <hyperlink ref="B190" r:id="rId172" xr:uid="{F4F076BD-BF49-45A9-B770-F1881038E6B4}"/>
    <hyperlink ref="B191" r:id="rId173" xr:uid="{D83341B5-6808-4B1A-9936-444F6774034B}"/>
    <hyperlink ref="B192" r:id="rId174" xr:uid="{4D0803BB-D3FC-4DE8-BB75-1282E5161020}"/>
    <hyperlink ref="B193" r:id="rId175" xr:uid="{C371D84A-000F-471A-B131-0F0CB6C16BC4}"/>
    <hyperlink ref="B194" r:id="rId176" xr:uid="{894F746A-A5FF-4F4A-A8EE-97D24BDB8490}"/>
    <hyperlink ref="B195" r:id="rId177" xr:uid="{75D48951-D05B-4DBB-A92E-DC0F76D062C6}"/>
    <hyperlink ref="B196" r:id="rId178" xr:uid="{93271A1D-1510-4216-AF9A-FCE270CF352F}"/>
    <hyperlink ref="B200" r:id="rId179" xr:uid="{C1EC851D-2AEA-44C8-B930-6CE36B3C722C}"/>
    <hyperlink ref="B201" r:id="rId180" xr:uid="{AF549555-E997-42A8-B084-C58F5630696C}"/>
    <hyperlink ref="B202" r:id="rId181" xr:uid="{C593AFB8-4617-4663-BDF7-B5140BE00261}"/>
    <hyperlink ref="B203" r:id="rId182" xr:uid="{E1374125-AA27-46E5-A3C5-F5F20027D43D}"/>
    <hyperlink ref="B204" r:id="rId183" xr:uid="{DA0B8909-97BC-4E25-BC82-8713E08CF497}"/>
    <hyperlink ref="B205" r:id="rId184" xr:uid="{F58D253D-0143-426F-B3BD-4039126D5043}"/>
    <hyperlink ref="B206" r:id="rId185" xr:uid="{609E8EB1-6739-4843-9E7A-E1D3E29F0389}"/>
    <hyperlink ref="B207" r:id="rId186" xr:uid="{DD6BF544-25CC-4DE5-82A6-B2F190019989}"/>
    <hyperlink ref="B208" r:id="rId187" xr:uid="{9BDC6C9C-876A-4090-AE60-5185B8703B2B}"/>
    <hyperlink ref="B209" r:id="rId188" xr:uid="{D15C243A-F950-4207-8F69-741FD5E0E3BA}"/>
    <hyperlink ref="B210" r:id="rId189" xr:uid="{C2FACB6A-75B8-466C-84D3-8E9A16B2E49D}"/>
    <hyperlink ref="B211" r:id="rId190" xr:uid="{34E9D37D-272E-4BD9-ABB4-07F190BC09B0}"/>
    <hyperlink ref="B212" r:id="rId191" xr:uid="{17FACACE-9391-43AF-B002-C5B690461305}"/>
    <hyperlink ref="B213" r:id="rId192" xr:uid="{31149984-9D38-4DB9-99C9-8368744C34E1}"/>
    <hyperlink ref="B214" r:id="rId193" xr:uid="{C816B921-950B-49E9-A142-1056DC52A4FD}"/>
    <hyperlink ref="B215" r:id="rId194" xr:uid="{7C08B918-3FAC-4AEB-9E92-8F0FE253D6BD}"/>
    <hyperlink ref="B218" r:id="rId195" xr:uid="{EBACFF74-4E77-431A-9B8E-4F5ECB6FEC39}"/>
    <hyperlink ref="B219" r:id="rId196" xr:uid="{CFCEAAD2-FBE7-405E-8538-694684D3AD45}"/>
    <hyperlink ref="B220" r:id="rId197" xr:uid="{42663E40-A456-4569-B4B8-41591FF79652}"/>
    <hyperlink ref="B221" r:id="rId198" xr:uid="{FCC95BEE-5575-4EE4-A9FF-47C2512AB291}"/>
    <hyperlink ref="B222" r:id="rId199" xr:uid="{9D37F07A-E9DB-4D29-A119-6E5704DEB5E7}"/>
    <hyperlink ref="B223" r:id="rId200" xr:uid="{4B20E230-228A-4784-ABD0-8D58D9628C9D}"/>
    <hyperlink ref="B224" r:id="rId201" xr:uid="{3132CFBF-3127-483C-AB7C-53D6390B174B}"/>
    <hyperlink ref="B225" r:id="rId202" xr:uid="{80D289CA-6704-46C2-BCBD-E6AB71B8701C}"/>
    <hyperlink ref="B226" r:id="rId203" xr:uid="{78E82FB4-B8A3-4F60-9DC4-F07F16E2C5EB}"/>
    <hyperlink ref="B227" r:id="rId204" xr:uid="{2EB97252-64EC-49ED-A6E8-278FF31D545B}"/>
    <hyperlink ref="B228" r:id="rId205" xr:uid="{4F3ED415-6E04-42D9-8FB7-66604DF3DB64}"/>
    <hyperlink ref="B229" r:id="rId206" xr:uid="{718B69B9-C86B-4F23-A293-FC901E3F1C16}"/>
    <hyperlink ref="B230" r:id="rId207" xr:uid="{D5F6ADA6-3740-4097-A043-299EC0E1E7C8}"/>
    <hyperlink ref="B231" r:id="rId208" xr:uid="{8C1A703C-609E-4D39-96D0-F1B925AE4DBE}"/>
    <hyperlink ref="B232" r:id="rId209" xr:uid="{C09FE871-5F4D-416E-A513-762B28BA0557}"/>
    <hyperlink ref="B233" r:id="rId210" xr:uid="{4EB54D03-DF2F-471D-9D9F-CC358DD19B61}"/>
    <hyperlink ref="B234" r:id="rId211" xr:uid="{4FE7FE84-1175-4262-8140-5E59E0D3FEB3}"/>
    <hyperlink ref="B235" r:id="rId212" xr:uid="{A76FCBFF-87C4-487C-AC8C-0BC1F5264AB0}"/>
    <hyperlink ref="B238" r:id="rId213" xr:uid="{0340F4E6-9236-4F2E-B6C7-480EA436D5A5}"/>
    <hyperlink ref="B239" r:id="rId214" xr:uid="{A3A6DE0D-CA5E-4CB0-8372-598731E70330}"/>
    <hyperlink ref="B240" r:id="rId215" xr:uid="{6328D767-C713-4E91-9095-3DDE023AED2F}"/>
    <hyperlink ref="B241" r:id="rId216" xr:uid="{99818D4E-320A-4557-B10F-4161565F12DA}"/>
    <hyperlink ref="B242" r:id="rId217" xr:uid="{4788FE77-1285-4B58-8909-1D1144D45246}"/>
    <hyperlink ref="B243" r:id="rId218" xr:uid="{82B58FE6-9077-4D9F-911E-7812EE931642}"/>
    <hyperlink ref="B244" r:id="rId219" xr:uid="{4663D518-ECD4-44F8-ADE7-13E91DE77071}"/>
    <hyperlink ref="B248" r:id="rId220" xr:uid="{0BCD4D25-FF40-4C37-8843-CDEFE5D7E1F1}"/>
    <hyperlink ref="B249" r:id="rId221" xr:uid="{DD066BC1-3602-436B-A9FE-B9EC75742844}"/>
    <hyperlink ref="B252" r:id="rId222" xr:uid="{F47CBE37-7E59-4610-BA8E-E292297A0102}"/>
    <hyperlink ref="B253" r:id="rId223" xr:uid="{152A8957-2229-4A45-A539-3D468E9BB135}"/>
    <hyperlink ref="B257" r:id="rId224" xr:uid="{0FB0F41C-92FA-4B67-A488-60F8449341B9}"/>
    <hyperlink ref="B258" r:id="rId225" xr:uid="{B9732F6C-00C7-433A-8F34-7DB63BFC7F78}"/>
    <hyperlink ref="B259" r:id="rId226" xr:uid="{B97AA7EF-5D1B-4FD9-BC18-8D1A0C26FDDB}"/>
    <hyperlink ref="B260" r:id="rId227" xr:uid="{DAF066F7-D886-418D-A69C-BB524222522B}"/>
    <hyperlink ref="B263" r:id="rId228" xr:uid="{F7B3EB4C-3574-47F7-890E-E703A52F9210}"/>
    <hyperlink ref="B264" r:id="rId229" xr:uid="{BB920DE9-AA2D-4AA9-B8F1-73CD8CB3C5C2}"/>
    <hyperlink ref="B265" r:id="rId230" xr:uid="{7AD07F47-08D9-4222-B89D-D04E9FEB2A69}"/>
    <hyperlink ref="B266" r:id="rId231" xr:uid="{51BDBE91-A7DB-45D7-BFB6-04BED3A378EF}"/>
    <hyperlink ref="B267" r:id="rId232" xr:uid="{E52BB0AC-B3AD-4D0D-8B82-052D7BAADD29}"/>
    <hyperlink ref="B268" r:id="rId233" xr:uid="{DC301101-1016-40B8-8694-5C36D4CB78EB}"/>
    <hyperlink ref="B269" r:id="rId234" xr:uid="{494E3A00-23DB-4756-B4C9-9E2E47DC9856}"/>
    <hyperlink ref="B270" r:id="rId235" xr:uid="{9E087BFF-4698-40A9-BD58-786A54C1FF50}"/>
    <hyperlink ref="B271" r:id="rId236" xr:uid="{0006F83D-6004-4453-970F-1CE77AF94C8D}"/>
    <hyperlink ref="B274" r:id="rId237" xr:uid="{1DA80326-26A8-41E1-83F6-3CAC98D154DC}"/>
    <hyperlink ref="B275" r:id="rId238" xr:uid="{477DD43C-D163-4F35-AB06-147545852883}"/>
    <hyperlink ref="B276" r:id="rId239" xr:uid="{2879E38C-8F97-47F1-A644-3802464944AC}"/>
    <hyperlink ref="B277" r:id="rId240" xr:uid="{4502B4A5-3E94-4A98-ADC9-0FF7CD63DBE1}"/>
    <hyperlink ref="B278" r:id="rId241" xr:uid="{E6E09AF6-1E43-43DB-84C7-EA073787F725}"/>
    <hyperlink ref="B282" r:id="rId242" xr:uid="{3E4D60C1-A42F-44B7-A458-8AC8D4ECB026}"/>
    <hyperlink ref="B283" r:id="rId243" xr:uid="{BE15484E-F7C0-435A-B7AC-E166732769A2}"/>
    <hyperlink ref="B284" r:id="rId244" xr:uid="{135E019D-73C5-441B-AEB8-236A315FCA59}"/>
    <hyperlink ref="B285" r:id="rId245" xr:uid="{D112AC30-7AF8-4841-BF74-2FEB431C5A37}"/>
    <hyperlink ref="B286" r:id="rId246" xr:uid="{E9AB7931-4308-4A6E-8D66-4D97CA7D8D89}"/>
    <hyperlink ref="B289" r:id="rId247" xr:uid="{D71C3780-ECEF-4A94-9B91-E2B9131CA406}"/>
    <hyperlink ref="B290" r:id="rId248" xr:uid="{500B8F8C-10EB-4326-9937-281AA7771893}"/>
    <hyperlink ref="B291" r:id="rId249" xr:uid="{A36B144C-492B-4BB1-8038-24E09BAC2057}"/>
    <hyperlink ref="B292" r:id="rId250" xr:uid="{A539511D-4DD8-4D73-ADE2-5592919C715D}"/>
    <hyperlink ref="B296" r:id="rId251" xr:uid="{3B1D7852-F92E-4A41-8EEE-E85547CCAB62}"/>
    <hyperlink ref="B297" r:id="rId252" xr:uid="{1C4CD7B6-DE55-48F8-819A-7E55944FDAC8}"/>
    <hyperlink ref="B298" r:id="rId253" xr:uid="{46755E9B-9DD4-4620-813C-F773C732785A}"/>
    <hyperlink ref="B299" r:id="rId254" xr:uid="{60B207B9-0D6C-441C-83D7-FC666B7E7EFD}"/>
    <hyperlink ref="B300" r:id="rId255" xr:uid="{4C49B9E6-FFE7-41BD-8C14-97EA1F53DFEA}"/>
    <hyperlink ref="B304" r:id="rId256" xr:uid="{9754B627-6968-4BC3-B50D-870CA54FD5C2}"/>
    <hyperlink ref="B305" r:id="rId257" xr:uid="{9CC87530-15DF-48B8-AC3A-9FCD54C703AD}"/>
    <hyperlink ref="B306" r:id="rId258" xr:uid="{CCCFBD29-99E3-4D7B-8A25-0E3C2484765F}"/>
    <hyperlink ref="B307" r:id="rId259" xr:uid="{7CD8D198-2B6C-4FFC-8014-63A3E19D7C95}"/>
    <hyperlink ref="B308" r:id="rId260" xr:uid="{65920741-45CD-4E32-905B-E557ADFA0B95}"/>
    <hyperlink ref="B309" r:id="rId261" xr:uid="{9A7A83A5-5D83-4FD2-B3BB-A7956CCC8802}"/>
    <hyperlink ref="B312" r:id="rId262" xr:uid="{756D9348-BD52-4686-9C1B-6B5987FB258E}"/>
    <hyperlink ref="B313" r:id="rId263" xr:uid="{1046B61F-4627-48E2-BF9E-346E007FA609}"/>
    <hyperlink ref="B314" r:id="rId264" xr:uid="{688C10A0-07CD-4114-8B56-F236C3DF14CC}"/>
    <hyperlink ref="B315" r:id="rId265" xr:uid="{16B2C668-897F-4B5D-88D1-7965BED0745A}"/>
    <hyperlink ref="B319" r:id="rId266" xr:uid="{F693D096-83CC-4AF9-BF66-D0255E353979}"/>
    <hyperlink ref="B320" r:id="rId267" xr:uid="{B289EF7B-3B07-4285-962E-079563F42C1C}"/>
    <hyperlink ref="D320" r:id="rId268" xr:uid="{FE1227F5-1A5C-494F-AA08-2112DF353215}"/>
    <hyperlink ref="B321" r:id="rId269" xr:uid="{1F950867-91AF-4259-AECC-B06DFD6A52B5}"/>
    <hyperlink ref="B322" r:id="rId270" xr:uid="{AD6E18FC-52AD-4839-AE06-2E2CF46A38AD}"/>
    <hyperlink ref="D323" r:id="rId271" xr:uid="{94FC8B4C-CEBA-4450-BD0D-A4709B9581FC}"/>
    <hyperlink ref="B324" r:id="rId272" xr:uid="{E795540F-5D8A-490D-BE6D-31231EBF7E1E}"/>
    <hyperlink ref="B327" r:id="rId273" xr:uid="{335F95DD-DD7B-4AC9-B7DE-EDD28B64BD0F}"/>
    <hyperlink ref="B328" r:id="rId274" xr:uid="{F2D0024C-B1AB-44E3-85A6-3B7B4A40B6C1}"/>
    <hyperlink ref="B329" r:id="rId275" xr:uid="{BE56F04B-0573-43B1-8F94-86C64D72A549}"/>
    <hyperlink ref="B330" r:id="rId276" xr:uid="{E3D28712-1F70-4B2C-8B7A-A74AF52409E2}"/>
    <hyperlink ref="B331" r:id="rId277" xr:uid="{4E83769A-6F0D-47D3-BEA2-6CCFCDE5350F}"/>
    <hyperlink ref="B332" r:id="rId278" xr:uid="{5AD9B2E2-7352-4041-9B72-FD7AC1F09E08}"/>
    <hyperlink ref="D332" r:id="rId279" xr:uid="{4B5CD079-1EDB-4A39-B8E5-25ADABA6ACCE}"/>
    <hyperlink ref="B333" r:id="rId280" xr:uid="{59321277-79FC-460D-A453-97A37921B691}"/>
    <hyperlink ref="B337" r:id="rId281" xr:uid="{055CEE35-416B-4A20-BEF6-70FAA980FCA3}"/>
    <hyperlink ref="B338" r:id="rId282" xr:uid="{C6F41843-DB31-4804-87F4-8364E641D2B6}"/>
    <hyperlink ref="B339" r:id="rId283" xr:uid="{2599D165-FAB1-4A47-BFB1-EAF53DE1B0C2}"/>
    <hyperlink ref="B340" r:id="rId284" xr:uid="{CADC3FB8-2DBD-4B7F-B19E-AD2E41B7FB51}"/>
    <hyperlink ref="B341" r:id="rId285" xr:uid="{763E4289-ED9C-4D5E-80A1-DD095346F007}"/>
    <hyperlink ref="B342" r:id="rId286" xr:uid="{B6D902CC-7B44-4E9D-9F01-FAE4948DCBB0}"/>
    <hyperlink ref="B343" r:id="rId287" xr:uid="{E252B42A-93BC-4542-832A-0356C41E701C}"/>
    <hyperlink ref="B347" r:id="rId288" xr:uid="{5E5BFE94-F53F-4061-98ED-C0D81AAD691E}"/>
    <hyperlink ref="B348" r:id="rId289" xr:uid="{775FA3D7-5A6F-4025-B4DA-41DEDEDFF837}"/>
    <hyperlink ref="B351" r:id="rId290" xr:uid="{432233CB-AC72-4F4B-B58C-2C180B6166FA}"/>
    <hyperlink ref="B352" r:id="rId291" xr:uid="{C61DE8C0-D64A-4161-87A8-0B07B2DE1E58}"/>
    <hyperlink ref="B353" r:id="rId292" xr:uid="{6A8A9AE7-106A-4FE2-9CA9-43521E57B0EB}"/>
    <hyperlink ref="B354" r:id="rId293" xr:uid="{63E2A983-52E8-44EA-AA3C-05734C52E22E}"/>
    <hyperlink ref="B355" r:id="rId294" xr:uid="{B44FCF6D-F820-48A8-B9E9-5334A170FFFB}"/>
    <hyperlink ref="B356" r:id="rId295" xr:uid="{8AD4DEAB-79D8-483B-9C7F-610C0D76D86C}"/>
    <hyperlink ref="B357" r:id="rId296" xr:uid="{EB130C0A-59C7-4C81-8476-42BF2A5AC512}"/>
    <hyperlink ref="B358" r:id="rId297" xr:uid="{97AB16F9-C160-4764-87BF-B299D55A62FF}"/>
    <hyperlink ref="B359" r:id="rId298" xr:uid="{BDFEE971-B8CF-40BD-AC10-C3C5A7950546}"/>
    <hyperlink ref="B360" r:id="rId299" xr:uid="{C965A725-3E30-415D-B4ED-F6F9A6684AE4}"/>
    <hyperlink ref="B361" r:id="rId300" xr:uid="{C400C71F-A01F-4028-855C-F35B0959550F}"/>
    <hyperlink ref="B362" r:id="rId301" xr:uid="{F7830E6C-7FAA-4C3E-89F5-5AA172990155}"/>
    <hyperlink ref="B363" r:id="rId302" xr:uid="{87ABF6DF-96C0-4E54-A22B-5BD40EF0298F}"/>
    <hyperlink ref="B364" r:id="rId303" xr:uid="{69F50252-CAAC-47FB-8467-6321E53F1623}"/>
    <hyperlink ref="B367" r:id="rId304" xr:uid="{06FBD17E-DAD9-44CC-81B1-42D768374A5D}"/>
    <hyperlink ref="B371" r:id="rId305" xr:uid="{FE37FF3F-8FB9-4896-B8FB-9323AE45F782}"/>
    <hyperlink ref="B372" r:id="rId306" xr:uid="{E5288CFD-2A9B-4340-9FEB-2CBFF06B7A8F}"/>
    <hyperlink ref="B373" r:id="rId307" xr:uid="{1DA017D6-8A17-40B6-8B0F-0BF03383D3F1}"/>
    <hyperlink ref="B374" r:id="rId308" xr:uid="{3F9C7900-2E77-4FC0-BC71-36C72275B83F}"/>
    <hyperlink ref="B375" r:id="rId309" xr:uid="{605FFE8E-7E76-4FEC-A4E5-BE8A4BD7BC6E}"/>
    <hyperlink ref="B376" r:id="rId310" xr:uid="{C7161D1B-C910-401C-9E53-8DA9F511D579}"/>
    <hyperlink ref="B377" r:id="rId311" xr:uid="{D030440C-AA6E-4756-A108-80B23F6ABDA3}"/>
    <hyperlink ref="B378" r:id="rId312" xr:uid="{8CE0E675-D596-436B-8F31-C5A33475425F}"/>
    <hyperlink ref="B379" r:id="rId313" xr:uid="{6E2334CB-5C29-45A2-BB1A-04ADC27AE45B}"/>
    <hyperlink ref="B380" r:id="rId314" xr:uid="{E1DF27A5-4E7B-4D4D-AEF8-3289311DA0FA}"/>
    <hyperlink ref="B381" r:id="rId315" xr:uid="{283F08B4-A8C9-4A1D-8C8C-C5D5129062E1}"/>
    <hyperlink ref="B382" r:id="rId316" xr:uid="{EADF0B1C-2782-457B-A1A4-DD80ED30EEDB}"/>
    <hyperlink ref="B385" r:id="rId317" xr:uid="{823711DE-5DED-4C7F-8DBB-FE92D7E07A67}"/>
    <hyperlink ref="B386" r:id="rId318" xr:uid="{3A75CABD-EA42-4ABC-9F7C-EC018FEEC02F}"/>
    <hyperlink ref="B387" r:id="rId319" xr:uid="{A88984CD-723D-490B-A309-EC71A67FE267}"/>
    <hyperlink ref="B388" r:id="rId320" xr:uid="{5A8C5879-ED5E-456A-8BCA-9584A58275DB}"/>
    <hyperlink ref="B389" r:id="rId321" xr:uid="{E854A4CE-6CF2-45F5-8C25-A403460CDC8D}"/>
    <hyperlink ref="B390" r:id="rId322" xr:uid="{B9EAE2D6-960A-4DEF-A552-C0B36BF4C5CF}"/>
    <hyperlink ref="B391" r:id="rId323" xr:uid="{80458C98-72B7-460D-A6CD-6A06BE8C25B1}"/>
    <hyperlink ref="B392" r:id="rId324" xr:uid="{8613389D-B299-41A2-8997-EE920971D41A}"/>
    <hyperlink ref="B393" r:id="rId325" xr:uid="{9A60F4F2-0AA4-4EFB-8F09-FB11B94295D2}"/>
    <hyperlink ref="B394" r:id="rId326" xr:uid="{14DE7824-DC81-457B-A9FE-261A19DFA922}"/>
    <hyperlink ref="B395" r:id="rId327" xr:uid="{D5F58ACE-4465-4EC7-920B-5F66ED5FFD21}"/>
    <hyperlink ref="B396" r:id="rId328" xr:uid="{62ABA996-6630-4EE3-9CD0-B7F641EA7D0C}"/>
    <hyperlink ref="B397" r:id="rId329" xr:uid="{99556ED2-CCC6-45CE-BB49-C85AB3C31993}"/>
    <hyperlink ref="B400" r:id="rId330" xr:uid="{036DE5EB-8E07-4592-81D6-98DE698FD505}"/>
    <hyperlink ref="B401" r:id="rId331" xr:uid="{12A708BA-530B-4A1B-8346-A3CB805B4C96}"/>
    <hyperlink ref="B405" r:id="rId332" xr:uid="{61855FD6-FCBC-4478-A6CC-52735E0E213D}"/>
    <hyperlink ref="B406" r:id="rId333" xr:uid="{E45B4DD7-AE05-4EB5-AE50-DA3430B6FBA4}"/>
    <hyperlink ref="B407" r:id="rId334" xr:uid="{74DE89C0-5817-493B-B0C0-4076CE9A820D}"/>
    <hyperlink ref="B408" r:id="rId335" xr:uid="{1D6E506B-0BF3-4E5E-8D49-3A0D2B654721}"/>
    <hyperlink ref="B409" r:id="rId336" xr:uid="{B25463FF-F012-491E-AB3C-868D92BBFCCA}"/>
    <hyperlink ref="B410" r:id="rId337" xr:uid="{863E47CC-41D9-46D1-B9A6-B577DA529332}"/>
    <hyperlink ref="B411" r:id="rId338" xr:uid="{6B36AC68-80B0-4179-A427-26AA784FA796}"/>
    <hyperlink ref="B412" r:id="rId339" xr:uid="{BB3A2EB4-1E24-4C8F-A246-C968B7E84626}"/>
    <hyperlink ref="B415" r:id="rId340" xr:uid="{F5F74808-B918-42E6-AA08-DD2EE73666DE}"/>
    <hyperlink ref="B416" r:id="rId341" xr:uid="{B5322AC8-E4B5-4535-BB16-4491592117CE}"/>
    <hyperlink ref="B417" r:id="rId342" xr:uid="{CF1A1A22-C387-43B3-ADEA-F2AD2B41B0CB}"/>
    <hyperlink ref="B418" r:id="rId343" xr:uid="{20EF5571-5F1C-489D-A161-F12713CFD7AC}"/>
    <hyperlink ref="B419" r:id="rId344" xr:uid="{3E557FB3-DB8A-44EB-8213-D56596707528}"/>
    <hyperlink ref="B420" r:id="rId345" xr:uid="{4E628DCD-B766-4EFA-BD20-16D371855664}"/>
    <hyperlink ref="B421" r:id="rId346" xr:uid="{A37B86FC-F2FC-4ED7-AEAB-6FF9F3DA6FA7}"/>
    <hyperlink ref="B422" r:id="rId347" xr:uid="{432640AC-A0B7-4353-8A73-62F7F679A66C}"/>
    <hyperlink ref="B423" r:id="rId348" xr:uid="{01A13EA2-B1C3-4346-BAF1-8FFBD0DACAD8}"/>
    <hyperlink ref="B427" r:id="rId349" xr:uid="{C30A6F99-5F14-43F3-B68E-08AD3CDAE623}"/>
    <hyperlink ref="B428" r:id="rId350" xr:uid="{7DDF9B9C-A3C7-442C-80C1-DBB6722E0299}"/>
    <hyperlink ref="B429" r:id="rId351" xr:uid="{46171C65-4243-4207-B03A-A3A634016701}"/>
    <hyperlink ref="B430" r:id="rId352" xr:uid="{7826F79B-F2D9-4D6C-B87B-F4D96B28ED21}"/>
    <hyperlink ref="B433" r:id="rId353" xr:uid="{36A36787-4191-4C5D-BE8B-B4D57F3DAF4E}"/>
    <hyperlink ref="B435" r:id="rId354" xr:uid="{116F236C-E01B-4FDF-8FD9-991014767095}"/>
  </hyperlinks>
  <pageMargins left="0.7" right="0.7" top="0.75" bottom="0.75" header="0.3" footer="0.3"/>
  <pageSetup orientation="portrait" r:id="rId35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5CFED-8E49-4B8F-82DF-726F6065E702}">
  <sheetPr>
    <outlinePr summaryBelow="0" summaryRight="0"/>
    <pageSetUpPr fitToPage="1"/>
  </sheetPr>
  <dimension ref="A1:Z618"/>
  <sheetViews>
    <sheetView topLeftCell="A433" workbookViewId="0">
      <selection activeCell="B547" sqref="B547"/>
    </sheetView>
  </sheetViews>
  <sheetFormatPr defaultColWidth="13" defaultRowHeight="15.75" customHeight="1"/>
  <cols>
    <col min="1" max="1" width="45.296875" style="108" customWidth="1"/>
    <col min="2" max="2" width="84" style="77" customWidth="1"/>
    <col min="3" max="3" width="32.796875" style="77" customWidth="1"/>
    <col min="4" max="4" width="28" style="77" customWidth="1"/>
    <col min="5" max="16384" width="13" style="77"/>
  </cols>
  <sheetData>
    <row r="1" spans="1:26" s="112" customFormat="1" ht="15.6" customHeight="1">
      <c r="A1" s="114"/>
      <c r="B1" s="110"/>
      <c r="C1" s="111"/>
      <c r="D1" s="109"/>
      <c r="E1" s="109"/>
      <c r="F1" s="109"/>
      <c r="G1" s="109"/>
      <c r="H1" s="109"/>
      <c r="I1" s="109"/>
      <c r="J1" s="109"/>
      <c r="K1" s="109"/>
      <c r="L1" s="109"/>
      <c r="M1" s="109"/>
      <c r="N1" s="109"/>
      <c r="O1" s="109"/>
      <c r="P1" s="109"/>
      <c r="Q1" s="109"/>
      <c r="R1" s="109"/>
      <c r="S1" s="109"/>
      <c r="T1" s="109"/>
      <c r="U1" s="109"/>
      <c r="V1" s="109"/>
      <c r="W1" s="109"/>
      <c r="X1" s="109"/>
      <c r="Y1" s="109"/>
      <c r="Z1" s="109"/>
    </row>
    <row r="2" spans="1:26" s="112" customFormat="1" ht="15.75" customHeight="1">
      <c r="A2" s="115"/>
      <c r="B2" s="113"/>
      <c r="C2" s="109"/>
      <c r="D2" s="109"/>
      <c r="E2" s="109"/>
      <c r="F2" s="109"/>
      <c r="G2" s="109"/>
      <c r="H2" s="109"/>
      <c r="I2" s="109"/>
      <c r="J2" s="109"/>
      <c r="K2" s="109"/>
      <c r="L2" s="109"/>
      <c r="M2" s="109"/>
      <c r="N2" s="109"/>
      <c r="O2" s="109"/>
      <c r="P2" s="109"/>
      <c r="Q2" s="109"/>
      <c r="R2" s="109"/>
      <c r="S2" s="109"/>
      <c r="T2" s="109"/>
      <c r="U2" s="109"/>
      <c r="V2" s="109"/>
      <c r="W2" s="109"/>
      <c r="X2" s="109"/>
      <c r="Y2" s="109"/>
      <c r="Z2" s="109"/>
    </row>
    <row r="3" spans="1:26" s="112" customFormat="1" ht="15.75" customHeight="1">
      <c r="A3" s="115"/>
      <c r="B3" s="113"/>
      <c r="C3" s="109"/>
      <c r="D3" s="109"/>
      <c r="E3" s="109"/>
      <c r="F3" s="109"/>
      <c r="G3" s="109"/>
      <c r="H3" s="109"/>
      <c r="I3" s="109"/>
      <c r="J3" s="109"/>
      <c r="K3" s="109"/>
      <c r="L3" s="109"/>
      <c r="M3" s="109"/>
      <c r="N3" s="109"/>
      <c r="O3" s="109"/>
      <c r="P3" s="109"/>
      <c r="Q3" s="109"/>
      <c r="R3" s="109"/>
      <c r="S3" s="109"/>
      <c r="T3" s="109"/>
      <c r="U3" s="109"/>
      <c r="V3" s="109"/>
      <c r="W3" s="109"/>
      <c r="X3" s="109"/>
      <c r="Y3" s="109"/>
      <c r="Z3" s="109"/>
    </row>
    <row r="4" spans="1:26" s="112" customFormat="1" ht="15.75" customHeight="1">
      <c r="A4" s="115"/>
      <c r="B4" s="113"/>
      <c r="C4" s="109"/>
      <c r="D4" s="109"/>
      <c r="E4" s="109"/>
      <c r="F4" s="109"/>
      <c r="G4" s="109"/>
      <c r="H4" s="109"/>
      <c r="I4" s="109"/>
      <c r="J4" s="109"/>
      <c r="K4" s="109"/>
      <c r="L4" s="109"/>
      <c r="M4" s="109"/>
      <c r="N4" s="109"/>
      <c r="O4" s="109"/>
      <c r="P4" s="109"/>
      <c r="Q4" s="109"/>
      <c r="R4" s="109"/>
      <c r="S4" s="109"/>
      <c r="T4" s="109"/>
      <c r="U4" s="109"/>
      <c r="V4" s="109"/>
      <c r="W4" s="109"/>
      <c r="X4" s="109"/>
      <c r="Y4" s="109"/>
      <c r="Z4" s="109"/>
    </row>
    <row r="5" spans="1:26" s="112" customFormat="1" ht="15.75" customHeight="1">
      <c r="A5" s="115"/>
      <c r="B5" s="113"/>
      <c r="C5" s="109"/>
      <c r="D5" s="109"/>
      <c r="E5" s="109"/>
      <c r="F5" s="109"/>
      <c r="G5" s="109"/>
      <c r="H5" s="109"/>
      <c r="I5" s="109"/>
      <c r="J5" s="109"/>
      <c r="K5" s="109"/>
      <c r="L5" s="109"/>
      <c r="M5" s="109"/>
      <c r="N5" s="109"/>
      <c r="O5" s="109"/>
      <c r="P5" s="109"/>
      <c r="Q5" s="109"/>
      <c r="R5" s="109"/>
      <c r="S5" s="109"/>
      <c r="T5" s="109"/>
      <c r="U5" s="109"/>
      <c r="V5" s="109"/>
      <c r="W5" s="109"/>
      <c r="X5" s="109"/>
      <c r="Y5" s="109"/>
      <c r="Z5" s="109"/>
    </row>
    <row r="6" spans="1:26" s="112" customFormat="1" ht="15.75" customHeight="1">
      <c r="A6" s="115"/>
      <c r="B6" s="113"/>
      <c r="C6" s="109"/>
      <c r="D6" s="109"/>
      <c r="E6" s="109"/>
      <c r="F6" s="109"/>
      <c r="G6" s="109"/>
      <c r="H6" s="109"/>
      <c r="I6" s="109"/>
      <c r="J6" s="109"/>
      <c r="K6" s="109"/>
      <c r="L6" s="109"/>
      <c r="M6" s="109"/>
      <c r="N6" s="109"/>
      <c r="O6" s="109"/>
      <c r="P6" s="109"/>
      <c r="Q6" s="109"/>
      <c r="R6" s="109"/>
      <c r="S6" s="109"/>
      <c r="T6" s="109"/>
      <c r="U6" s="109"/>
      <c r="V6" s="109"/>
      <c r="W6" s="109"/>
      <c r="X6" s="109"/>
      <c r="Y6" s="109"/>
      <c r="Z6" s="109"/>
    </row>
    <row r="7" spans="1:26" s="112" customFormat="1" ht="15.75" customHeight="1">
      <c r="A7" s="115"/>
      <c r="B7" s="113"/>
      <c r="C7" s="109"/>
      <c r="D7" s="109"/>
      <c r="E7" s="109"/>
      <c r="F7" s="109"/>
      <c r="G7" s="109"/>
      <c r="H7" s="109"/>
      <c r="I7" s="109"/>
      <c r="J7" s="109"/>
      <c r="K7" s="109"/>
      <c r="L7" s="109"/>
      <c r="M7" s="109"/>
      <c r="N7" s="109"/>
      <c r="O7" s="109"/>
      <c r="P7" s="109"/>
      <c r="Q7" s="109"/>
      <c r="R7" s="109"/>
      <c r="S7" s="109"/>
      <c r="T7" s="109"/>
      <c r="U7" s="109"/>
      <c r="V7" s="109"/>
      <c r="W7" s="109"/>
      <c r="X7" s="109"/>
      <c r="Y7" s="109"/>
      <c r="Z7" s="109"/>
    </row>
    <row r="8" spans="1:26" s="112" customFormat="1" ht="15.75" customHeight="1">
      <c r="A8" s="115"/>
      <c r="B8" s="113"/>
      <c r="C8" s="109"/>
      <c r="D8" s="109"/>
      <c r="E8" s="109"/>
      <c r="F8" s="109"/>
      <c r="G8" s="109"/>
      <c r="H8" s="109"/>
      <c r="I8" s="109"/>
      <c r="J8" s="109"/>
      <c r="K8" s="109"/>
      <c r="L8" s="109"/>
      <c r="M8" s="109"/>
      <c r="N8" s="109"/>
      <c r="O8" s="109"/>
      <c r="P8" s="109"/>
      <c r="Q8" s="109"/>
      <c r="R8" s="109"/>
      <c r="S8" s="109"/>
      <c r="T8" s="109"/>
      <c r="U8" s="109"/>
      <c r="V8" s="109"/>
      <c r="W8" s="109"/>
      <c r="X8" s="109"/>
      <c r="Y8" s="109"/>
      <c r="Z8" s="109"/>
    </row>
    <row r="9" spans="1:26" s="112" customFormat="1" ht="15.75" customHeight="1">
      <c r="A9" s="115"/>
      <c r="B9" s="113"/>
      <c r="C9" s="109"/>
      <c r="D9" s="109"/>
      <c r="E9" s="109"/>
      <c r="F9" s="109"/>
      <c r="G9" s="109"/>
      <c r="H9" s="109"/>
      <c r="I9" s="109"/>
      <c r="J9" s="109"/>
      <c r="K9" s="109"/>
      <c r="L9" s="109"/>
      <c r="M9" s="109"/>
      <c r="N9" s="109"/>
      <c r="O9" s="109"/>
      <c r="P9" s="109"/>
      <c r="Q9" s="109"/>
      <c r="R9" s="109"/>
      <c r="S9" s="109"/>
      <c r="T9" s="109"/>
      <c r="U9" s="109"/>
      <c r="V9" s="109"/>
      <c r="W9" s="109"/>
      <c r="X9" s="109"/>
      <c r="Y9" s="109"/>
      <c r="Z9" s="109"/>
    </row>
    <row r="10" spans="1:26" s="112" customFormat="1" ht="15.75" customHeight="1">
      <c r="A10" s="115"/>
      <c r="B10" s="113"/>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row>
    <row r="11" spans="1:26" s="112" customFormat="1" ht="15.75" customHeight="1">
      <c r="A11" s="115"/>
      <c r="B11" s="113"/>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row>
    <row r="12" spans="1:26" s="112" customFormat="1" ht="15.75" customHeight="1">
      <c r="A12" s="115"/>
      <c r="B12" s="113"/>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row>
    <row r="13" spans="1:26" s="112" customFormat="1" ht="15.75" customHeight="1">
      <c r="A13" s="115"/>
      <c r="B13" s="113"/>
      <c r="C13" s="109"/>
      <c r="D13" s="109"/>
      <c r="E13" s="109"/>
      <c r="F13" s="109"/>
      <c r="G13" s="109"/>
      <c r="H13" s="109"/>
      <c r="I13" s="109"/>
      <c r="J13" s="109"/>
      <c r="K13" s="109"/>
      <c r="L13" s="109"/>
      <c r="M13" s="109"/>
      <c r="N13" s="109"/>
      <c r="O13" s="109"/>
      <c r="P13" s="109"/>
      <c r="Q13" s="109"/>
      <c r="R13" s="109"/>
      <c r="S13" s="109"/>
      <c r="T13" s="109"/>
      <c r="U13" s="109"/>
      <c r="V13" s="109"/>
      <c r="W13" s="109"/>
      <c r="X13" s="109"/>
      <c r="Y13" s="109"/>
      <c r="Z13" s="109"/>
    </row>
    <row r="14" spans="1:26" s="112" customFormat="1" ht="15.75" customHeight="1">
      <c r="A14" s="115"/>
      <c r="B14" s="113"/>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row>
    <row r="15" spans="1:26" s="112" customFormat="1" ht="15.75" customHeight="1">
      <c r="A15" s="115"/>
      <c r="B15" s="113"/>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spans="1:26" ht="15.75" customHeight="1">
      <c r="A16" s="116" t="s">
        <v>1443</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5.75" customHeight="1">
      <c r="A17" s="117" t="s">
        <v>1442</v>
      </c>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40.200000000000003">
      <c r="A18" s="118" t="s">
        <v>1441</v>
      </c>
      <c r="B18" s="89" t="s">
        <v>1444</v>
      </c>
      <c r="C18" s="26" t="s">
        <v>1447</v>
      </c>
      <c r="D18" s="156" t="s">
        <v>1448</v>
      </c>
      <c r="E18" s="89"/>
      <c r="F18" s="89"/>
      <c r="G18" s="89"/>
      <c r="H18" s="89"/>
      <c r="I18" s="89"/>
      <c r="J18" s="89"/>
      <c r="K18" s="89"/>
      <c r="L18" s="89"/>
      <c r="M18" s="89"/>
      <c r="N18" s="89"/>
      <c r="O18" s="89"/>
      <c r="P18" s="89"/>
      <c r="Q18" s="89"/>
      <c r="R18" s="89"/>
      <c r="S18" s="89"/>
      <c r="T18" s="89"/>
      <c r="U18" s="89"/>
      <c r="V18" s="89"/>
      <c r="W18" s="89"/>
      <c r="X18" s="89"/>
      <c r="Y18" s="89"/>
      <c r="Z18" s="89"/>
    </row>
    <row r="19" spans="1:26" ht="15.75" customHeight="1">
      <c r="A19" s="157" t="s">
        <v>1440</v>
      </c>
      <c r="B19" s="158" t="s">
        <v>1450</v>
      </c>
      <c r="C19" s="108"/>
      <c r="D19" s="89"/>
      <c r="E19" s="89"/>
      <c r="F19" s="89"/>
      <c r="G19" s="89"/>
      <c r="H19" s="89"/>
      <c r="I19" s="89"/>
      <c r="J19" s="89"/>
      <c r="K19" s="89"/>
      <c r="L19" s="89"/>
      <c r="M19" s="89"/>
      <c r="N19" s="89"/>
      <c r="O19" s="89"/>
      <c r="P19" s="89"/>
      <c r="Q19" s="89"/>
      <c r="R19" s="89"/>
      <c r="S19" s="89"/>
      <c r="T19" s="89"/>
      <c r="U19" s="89"/>
      <c r="V19" s="89"/>
      <c r="W19" s="89"/>
      <c r="X19" s="89"/>
      <c r="Y19" s="89"/>
      <c r="Z19" s="89"/>
    </row>
    <row r="20" spans="1:26" ht="15.75" customHeight="1">
      <c r="A20" s="157" t="s">
        <v>1439</v>
      </c>
      <c r="B20" s="89" t="s">
        <v>1449</v>
      </c>
      <c r="C20" s="89"/>
      <c r="D20" s="89"/>
      <c r="E20" s="89"/>
      <c r="F20" s="89"/>
      <c r="G20" s="89"/>
      <c r="H20" s="89"/>
      <c r="I20" s="89"/>
      <c r="J20" s="89"/>
      <c r="K20" s="89"/>
      <c r="L20" s="89"/>
      <c r="M20" s="89"/>
      <c r="N20" s="89"/>
      <c r="O20" s="89"/>
      <c r="P20" s="89"/>
      <c r="Q20" s="89"/>
      <c r="R20" s="89"/>
      <c r="S20" s="89"/>
      <c r="T20" s="89"/>
      <c r="U20" s="89"/>
      <c r="V20" s="89"/>
      <c r="W20" s="89"/>
      <c r="X20" s="89"/>
      <c r="Y20" s="89"/>
      <c r="Z20" s="89"/>
    </row>
    <row r="21" spans="1:26" ht="15.75" customHeight="1">
      <c r="A21" s="119" t="s">
        <v>1438</v>
      </c>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spans="1:26" ht="15.75" customHeight="1">
      <c r="A22" s="159" t="s">
        <v>1437</v>
      </c>
      <c r="B22" s="158"/>
      <c r="C22" s="89"/>
      <c r="D22" s="89"/>
      <c r="E22" s="89"/>
      <c r="F22" s="89"/>
      <c r="G22" s="89"/>
      <c r="H22" s="89"/>
      <c r="I22" s="89"/>
      <c r="J22" s="89"/>
      <c r="K22" s="89"/>
      <c r="L22" s="89"/>
      <c r="M22" s="89"/>
      <c r="N22" s="89"/>
      <c r="O22" s="89"/>
      <c r="P22" s="89"/>
      <c r="Q22" s="89"/>
      <c r="R22" s="89"/>
      <c r="S22" s="89"/>
      <c r="T22" s="89"/>
      <c r="U22" s="89"/>
      <c r="V22" s="89"/>
      <c r="W22" s="89"/>
      <c r="X22" s="89"/>
      <c r="Y22" s="89"/>
      <c r="Z22" s="89"/>
    </row>
    <row r="23" spans="1:26" ht="15.75" customHeight="1">
      <c r="A23" s="119" t="str">
        <f>HYPERLINK("https://leetcode.com/problems/majority-element/","majority element")</f>
        <v>majority element</v>
      </c>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spans="1:26" ht="15.75" customHeight="1">
      <c r="A24" s="119" t="str">
        <f>HYPERLINK("https://leetcode.com/problems/majority-element-ii/","majority element 2")</f>
        <v>majority element 2</v>
      </c>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spans="1:26" ht="15.75" customHeight="1">
      <c r="A25" s="119" t="str">
        <f>HYPERLINK("geeksforgeeks.org/given-an-array-of-of-size-n-finds-all-the-elements-that-appear-more-than-nk-times/","majority element general")</f>
        <v>majority element general</v>
      </c>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spans="1:26" ht="15.75" customHeight="1">
      <c r="A26" s="117" t="s">
        <v>1436</v>
      </c>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spans="1:26" ht="13.8">
      <c r="A27" s="120" t="str">
        <f>HYPERLINK("https://leetcode.com/problems/max-chunks-to-make-sorted/","Max chunks to make sorted")</f>
        <v>Max chunks to make sorted</v>
      </c>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spans="1:26" ht="15.75" customHeight="1">
      <c r="A28" s="121" t="s">
        <v>1435</v>
      </c>
      <c r="B28" s="100"/>
      <c r="C28" s="89"/>
      <c r="D28" s="89"/>
      <c r="E28" s="89"/>
      <c r="F28" s="89"/>
      <c r="G28" s="89"/>
      <c r="H28" s="89"/>
      <c r="I28" s="89"/>
      <c r="J28" s="89"/>
      <c r="K28" s="89"/>
      <c r="L28" s="89"/>
      <c r="M28" s="89"/>
      <c r="N28" s="89"/>
      <c r="O28" s="89"/>
      <c r="P28" s="89"/>
      <c r="Q28" s="89"/>
      <c r="R28" s="89"/>
      <c r="S28" s="89"/>
      <c r="T28" s="89"/>
      <c r="U28" s="89"/>
      <c r="V28" s="89"/>
      <c r="W28" s="89"/>
      <c r="X28" s="89"/>
      <c r="Y28" s="89"/>
      <c r="Z28" s="89"/>
    </row>
    <row r="29" spans="1:26" ht="15.75" customHeight="1">
      <c r="A29" s="121" t="str">
        <f>HYPERLINK("https://leetcode.com/problems/maximum-product-of-three-numbers/","max product of 3 numbers")</f>
        <v>max product of 3 numbers</v>
      </c>
      <c r="B29" s="100"/>
      <c r="C29" s="89"/>
      <c r="D29" s="89"/>
      <c r="E29" s="89"/>
      <c r="F29" s="89"/>
      <c r="G29" s="89"/>
      <c r="H29" s="89"/>
      <c r="I29" s="89"/>
      <c r="J29" s="89"/>
      <c r="K29" s="89"/>
      <c r="L29" s="89"/>
      <c r="M29" s="89"/>
      <c r="N29" s="89"/>
      <c r="O29" s="89"/>
      <c r="P29" s="89"/>
      <c r="Q29" s="89"/>
      <c r="R29" s="89"/>
      <c r="S29" s="89"/>
      <c r="T29" s="89"/>
      <c r="U29" s="89"/>
      <c r="V29" s="89"/>
      <c r="W29" s="89"/>
      <c r="X29" s="89"/>
      <c r="Y29" s="89"/>
      <c r="Z29" s="89"/>
    </row>
    <row r="30" spans="1:26" ht="15.75" customHeight="1">
      <c r="A30" s="119" t="str">
        <f>HYPERLINK("https://leetcode.com/problems/largest-number-at-least-twice-of-others/","largest number atleast twice of others")</f>
        <v>largest number atleast twice of others</v>
      </c>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spans="1:26" ht="15.75" customHeight="1">
      <c r="A31" s="119" t="s">
        <v>1434</v>
      </c>
      <c r="B31" s="100"/>
      <c r="C31" s="89"/>
      <c r="D31" s="89"/>
      <c r="E31" s="89"/>
      <c r="F31" s="89"/>
      <c r="G31" s="89"/>
      <c r="H31" s="89"/>
      <c r="I31" s="89"/>
      <c r="J31" s="89"/>
      <c r="K31" s="89"/>
      <c r="L31" s="89"/>
      <c r="M31" s="89"/>
      <c r="N31" s="89"/>
      <c r="O31" s="89"/>
      <c r="P31" s="89"/>
      <c r="Q31" s="89"/>
      <c r="R31" s="89"/>
      <c r="S31" s="89"/>
      <c r="T31" s="89"/>
      <c r="U31" s="89"/>
      <c r="V31" s="89"/>
      <c r="W31" s="89"/>
      <c r="X31" s="89"/>
      <c r="Y31" s="89"/>
      <c r="Z31" s="89"/>
    </row>
    <row r="32" spans="1:26" ht="15.75" customHeight="1">
      <c r="A32" s="121" t="str">
        <f>HYPERLINK("https://leetcode.com/problems/number-of-subarrays-with-bounded-maximum/","number of subarrays with bounded maximum")</f>
        <v>number of subarrays with bounded maximum</v>
      </c>
      <c r="B32" s="100"/>
      <c r="C32" s="89"/>
      <c r="D32" s="89"/>
      <c r="E32" s="89"/>
      <c r="F32" s="89"/>
      <c r="G32" s="89"/>
      <c r="H32" s="89"/>
      <c r="I32" s="89"/>
      <c r="J32" s="89"/>
      <c r="K32" s="89"/>
      <c r="L32" s="89"/>
      <c r="M32" s="89"/>
      <c r="N32" s="89"/>
      <c r="O32" s="89"/>
      <c r="P32" s="89"/>
      <c r="Q32" s="89"/>
      <c r="R32" s="89"/>
      <c r="S32" s="89"/>
      <c r="T32" s="89"/>
      <c r="U32" s="89"/>
      <c r="V32" s="89"/>
      <c r="W32" s="89"/>
      <c r="X32" s="89"/>
      <c r="Y32" s="89"/>
      <c r="Z32" s="89"/>
    </row>
    <row r="33" spans="1:26" ht="15.75" customHeight="1">
      <c r="A33" s="121" t="str">
        <f>HYPERLINK("https://leetcode.com/problems/maximum-subarray/","maximum subarray")</f>
        <v>maximum subarray</v>
      </c>
      <c r="B33" s="100"/>
      <c r="C33" s="89"/>
      <c r="D33" s="89"/>
      <c r="E33" s="89"/>
      <c r="F33" s="89"/>
      <c r="G33" s="89"/>
      <c r="H33" s="89"/>
      <c r="I33" s="89"/>
      <c r="J33" s="89"/>
      <c r="K33" s="89"/>
      <c r="L33" s="89"/>
      <c r="M33" s="89"/>
      <c r="N33" s="89"/>
      <c r="O33" s="89"/>
      <c r="P33" s="89"/>
      <c r="Q33" s="89"/>
      <c r="R33" s="89"/>
      <c r="S33" s="89"/>
      <c r="T33" s="89"/>
      <c r="U33" s="89"/>
      <c r="V33" s="89"/>
      <c r="W33" s="89"/>
      <c r="X33" s="89"/>
      <c r="Y33" s="89"/>
      <c r="Z33" s="89"/>
    </row>
    <row r="34" spans="1:26" ht="15.75" customHeight="1">
      <c r="A34" s="117" t="s">
        <v>1433</v>
      </c>
      <c r="B34" s="100"/>
      <c r="C34" s="89"/>
      <c r="D34" s="89"/>
      <c r="E34" s="89"/>
      <c r="F34" s="89"/>
      <c r="G34" s="89"/>
      <c r="H34" s="89"/>
      <c r="I34" s="89"/>
      <c r="J34" s="89"/>
      <c r="K34" s="89"/>
      <c r="L34" s="89"/>
      <c r="M34" s="89"/>
      <c r="N34" s="89"/>
      <c r="O34" s="89"/>
      <c r="P34" s="89"/>
      <c r="Q34" s="89"/>
      <c r="R34" s="89"/>
      <c r="S34" s="89"/>
      <c r="T34" s="89"/>
      <c r="U34" s="89"/>
      <c r="V34" s="89"/>
      <c r="W34" s="89"/>
      <c r="X34" s="89"/>
      <c r="Y34" s="89"/>
      <c r="Z34" s="89"/>
    </row>
    <row r="35" spans="1:26" ht="14.4">
      <c r="A35" s="119" t="str">
        <f>HYPERLINK("https://www.codechef.com/JAN18/problems/KCON","K-CON")</f>
        <v>K-CON</v>
      </c>
      <c r="B35" s="100"/>
      <c r="C35" s="89"/>
      <c r="D35" s="89"/>
      <c r="E35" s="89"/>
      <c r="F35" s="89"/>
      <c r="G35" s="89"/>
      <c r="H35" s="89"/>
      <c r="I35" s="89"/>
      <c r="J35" s="89"/>
      <c r="K35" s="89"/>
      <c r="L35" s="89"/>
      <c r="M35" s="89"/>
      <c r="N35" s="89"/>
      <c r="O35" s="89"/>
      <c r="P35" s="89"/>
      <c r="Q35" s="89"/>
      <c r="R35" s="89"/>
      <c r="S35" s="89"/>
      <c r="T35" s="89"/>
      <c r="U35" s="89"/>
      <c r="V35" s="89"/>
      <c r="W35" s="89"/>
      <c r="X35" s="89"/>
      <c r="Y35" s="89"/>
      <c r="Z35" s="89"/>
    </row>
    <row r="36" spans="1:26" ht="14.4">
      <c r="A36" s="119" t="str">
        <f>HYPERLINK("https://leetcode.com/problems/best-meeting-point/","best meeting points")</f>
        <v>best meeting points</v>
      </c>
      <c r="B36" s="89"/>
      <c r="C36" s="89"/>
      <c r="D36" s="89"/>
      <c r="E36" s="89"/>
      <c r="F36" s="89"/>
      <c r="G36" s="89"/>
      <c r="H36" s="89"/>
      <c r="I36" s="89"/>
      <c r="J36" s="89"/>
      <c r="K36" s="89"/>
      <c r="L36" s="89"/>
      <c r="M36" s="89"/>
      <c r="N36" s="89"/>
      <c r="O36" s="89"/>
      <c r="P36" s="89"/>
      <c r="Q36" s="89"/>
      <c r="R36" s="89"/>
      <c r="S36" s="89"/>
      <c r="T36" s="89"/>
      <c r="U36" s="89"/>
      <c r="V36" s="89"/>
      <c r="W36" s="89"/>
      <c r="X36" s="89"/>
      <c r="Y36" s="89"/>
      <c r="Z36" s="89"/>
    </row>
    <row r="37" spans="1:26" ht="14.4">
      <c r="A37" s="119" t="str">
        <f>HYPERLINK("https://www.geeksforgeeks.org/segregate-0s-and-1s-in-an-array-by-traversing-array-once/","Segregate 0 and 1")</f>
        <v>Segregate 0 and 1</v>
      </c>
      <c r="B37" s="100"/>
      <c r="C37" s="89"/>
      <c r="D37" s="89"/>
      <c r="E37" s="89"/>
      <c r="F37" s="89"/>
      <c r="G37" s="89"/>
      <c r="H37" s="89"/>
      <c r="I37" s="89"/>
      <c r="J37" s="89"/>
      <c r="K37" s="89"/>
      <c r="L37" s="89"/>
      <c r="M37" s="89"/>
      <c r="N37" s="89"/>
      <c r="O37" s="89"/>
      <c r="P37" s="89"/>
      <c r="Q37" s="89"/>
      <c r="R37" s="89"/>
      <c r="S37" s="89"/>
      <c r="T37" s="89"/>
      <c r="U37" s="89"/>
      <c r="V37" s="89"/>
      <c r="W37" s="89"/>
      <c r="X37" s="89"/>
      <c r="Y37" s="89"/>
      <c r="Z37" s="89"/>
    </row>
    <row r="38" spans="1:26" ht="14.4">
      <c r="A38" s="122" t="s">
        <v>1432</v>
      </c>
      <c r="B38" s="104"/>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spans="1:26" ht="14.4">
      <c r="A39" s="123" t="s">
        <v>1431</v>
      </c>
      <c r="B39" s="104"/>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spans="1:26" ht="14.4">
      <c r="A40" s="123" t="str">
        <f>HYPERLINK("https://leetcode.com/problems/partition-labels/","partition labels")</f>
        <v>partition labels</v>
      </c>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spans="1:26" ht="14.4">
      <c r="A41" s="122" t="s">
        <v>1445</v>
      </c>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spans="1:26" ht="14.4">
      <c r="A42" s="124" t="s">
        <v>1430</v>
      </c>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spans="1:26" ht="14.4">
      <c r="A43" s="119" t="s">
        <v>1429</v>
      </c>
      <c r="B43" s="89"/>
      <c r="C43" s="89"/>
      <c r="D43" s="89"/>
      <c r="E43" s="89"/>
      <c r="F43" s="89"/>
      <c r="G43" s="89"/>
      <c r="H43" s="89"/>
      <c r="I43" s="89"/>
      <c r="J43" s="89"/>
      <c r="K43" s="89"/>
      <c r="L43" s="89"/>
      <c r="M43" s="89"/>
      <c r="N43" s="89"/>
      <c r="O43" s="89"/>
      <c r="P43" s="89"/>
      <c r="Q43" s="89"/>
      <c r="R43" s="89"/>
      <c r="S43" s="89"/>
      <c r="T43" s="89"/>
      <c r="U43" s="89"/>
      <c r="V43" s="89"/>
      <c r="W43" s="89"/>
      <c r="X43" s="89"/>
      <c r="Y43" s="89"/>
      <c r="Z43" s="89"/>
    </row>
    <row r="44" spans="1:26" ht="14.4">
      <c r="A44" s="119" t="s">
        <v>1428</v>
      </c>
      <c r="B44" s="106"/>
      <c r="C44" s="89"/>
      <c r="D44" s="89"/>
      <c r="E44" s="89"/>
      <c r="F44" s="89"/>
      <c r="G44" s="89"/>
      <c r="H44" s="89"/>
      <c r="I44" s="89"/>
      <c r="J44" s="89"/>
      <c r="K44" s="89"/>
      <c r="L44" s="89"/>
      <c r="M44" s="89"/>
      <c r="N44" s="89"/>
      <c r="O44" s="89"/>
      <c r="P44" s="89"/>
      <c r="Q44" s="89"/>
      <c r="R44" s="89"/>
      <c r="S44" s="89"/>
      <c r="T44" s="89"/>
      <c r="U44" s="89"/>
      <c r="V44" s="89"/>
      <c r="W44" s="89"/>
      <c r="X44" s="89"/>
      <c r="Y44" s="89"/>
      <c r="Z44" s="89"/>
    </row>
    <row r="45" spans="1:26" ht="14.4">
      <c r="A45" s="119" t="s">
        <v>1427</v>
      </c>
      <c r="B45" s="89"/>
      <c r="C45" s="89"/>
      <c r="D45" s="89"/>
      <c r="E45" s="89"/>
      <c r="F45" s="89"/>
      <c r="G45" s="89"/>
      <c r="H45" s="89"/>
      <c r="I45" s="89"/>
      <c r="J45" s="89"/>
      <c r="K45" s="89"/>
      <c r="L45" s="89"/>
      <c r="M45" s="89"/>
      <c r="N45" s="89"/>
      <c r="O45" s="89"/>
      <c r="P45" s="89"/>
      <c r="Q45" s="89"/>
      <c r="R45" s="89"/>
      <c r="S45" s="89"/>
      <c r="T45" s="89"/>
      <c r="U45" s="89"/>
      <c r="V45" s="89"/>
      <c r="W45" s="89"/>
      <c r="X45" s="89"/>
      <c r="Y45" s="89"/>
      <c r="Z45" s="89"/>
    </row>
    <row r="46" spans="1:26" ht="14.4">
      <c r="A46" s="119" t="str">
        <f>HYPERLINK("https://leetcode.com/problems/consecutive-numbers-sum/","consecutive number sum")</f>
        <v>consecutive number sum</v>
      </c>
      <c r="B46" s="99"/>
      <c r="C46" s="99"/>
      <c r="D46" s="89"/>
      <c r="E46" s="89"/>
      <c r="F46" s="89"/>
      <c r="G46" s="89"/>
      <c r="H46" s="89"/>
      <c r="I46" s="89"/>
      <c r="J46" s="89"/>
      <c r="K46" s="89"/>
      <c r="L46" s="89"/>
      <c r="M46" s="89"/>
      <c r="N46" s="89"/>
      <c r="O46" s="89"/>
      <c r="P46" s="89"/>
      <c r="Q46" s="89"/>
      <c r="R46" s="89"/>
      <c r="S46" s="89"/>
      <c r="T46" s="89"/>
      <c r="U46" s="89"/>
      <c r="V46" s="89"/>
      <c r="W46" s="89"/>
      <c r="X46" s="89"/>
      <c r="Y46" s="89"/>
      <c r="Z46" s="89"/>
    </row>
    <row r="47" spans="1:26" ht="14.4">
      <c r="A47" s="125" t="s">
        <v>1426</v>
      </c>
      <c r="B47" s="100"/>
      <c r="C47" s="93"/>
      <c r="D47" s="89"/>
      <c r="E47" s="89"/>
      <c r="F47" s="89"/>
      <c r="G47" s="89"/>
      <c r="H47" s="89"/>
      <c r="I47" s="89"/>
      <c r="J47" s="89"/>
      <c r="K47" s="89"/>
      <c r="L47" s="89"/>
      <c r="M47" s="89"/>
      <c r="N47" s="89"/>
      <c r="O47" s="89"/>
      <c r="P47" s="89"/>
      <c r="Q47" s="89"/>
      <c r="R47" s="89"/>
      <c r="S47" s="89"/>
      <c r="T47" s="89"/>
      <c r="U47" s="89"/>
      <c r="V47" s="89"/>
      <c r="W47" s="89"/>
      <c r="X47" s="89"/>
      <c r="Y47" s="89"/>
      <c r="Z47" s="89"/>
    </row>
    <row r="48" spans="1:26" ht="14.4">
      <c r="A48" s="119" t="s">
        <v>1425</v>
      </c>
      <c r="B48" s="100"/>
      <c r="C48" s="89"/>
      <c r="D48" s="89"/>
      <c r="E48" s="89"/>
      <c r="F48" s="89"/>
      <c r="G48" s="89"/>
      <c r="H48" s="89"/>
      <c r="I48" s="89"/>
      <c r="J48" s="89"/>
      <c r="K48" s="89"/>
      <c r="L48" s="89"/>
      <c r="M48" s="89"/>
      <c r="N48" s="89"/>
      <c r="O48" s="89"/>
      <c r="P48" s="89"/>
      <c r="Q48" s="89"/>
      <c r="R48" s="89"/>
      <c r="S48" s="89"/>
      <c r="T48" s="89"/>
      <c r="U48" s="89"/>
      <c r="V48" s="89"/>
      <c r="W48" s="89"/>
      <c r="X48" s="89"/>
      <c r="Y48" s="89"/>
      <c r="Z48" s="89"/>
    </row>
    <row r="49" spans="1:26" ht="14.4">
      <c r="A49" s="119" t="str">
        <f>HYPERLINK("https://www.geeksforgeeks.org/sieve-of-eratosthenes/","Sieve of Eratosthenes")</f>
        <v>Sieve of Eratosthenes</v>
      </c>
      <c r="B49" s="100"/>
      <c r="C49" s="89"/>
      <c r="D49" s="89"/>
      <c r="E49" s="89"/>
      <c r="F49" s="89"/>
      <c r="G49" s="89"/>
      <c r="H49" s="89"/>
      <c r="I49" s="89"/>
      <c r="J49" s="89"/>
      <c r="K49" s="89"/>
      <c r="L49" s="89"/>
      <c r="M49" s="89"/>
      <c r="N49" s="89"/>
      <c r="O49" s="89"/>
      <c r="P49" s="89"/>
      <c r="Q49" s="89"/>
      <c r="R49" s="89"/>
      <c r="S49" s="89"/>
      <c r="T49" s="89"/>
      <c r="U49" s="89"/>
      <c r="V49" s="89"/>
      <c r="W49" s="89"/>
      <c r="X49" s="89"/>
      <c r="Y49" s="89"/>
      <c r="Z49" s="89"/>
    </row>
    <row r="50" spans="1:26" ht="14.4">
      <c r="A50" s="119" t="str">
        <f>HYPERLINK("https://www.spoj.com/problems/PRIME1/cstart=10","Segmented sieve")</f>
        <v>Segmented sieve</v>
      </c>
      <c r="B50" s="100"/>
      <c r="C50" s="89"/>
      <c r="D50" s="89"/>
      <c r="E50" s="89"/>
      <c r="F50" s="89"/>
      <c r="G50" s="89"/>
      <c r="H50" s="89"/>
      <c r="I50" s="89"/>
      <c r="J50" s="89"/>
      <c r="K50" s="89"/>
      <c r="L50" s="89"/>
      <c r="M50" s="89"/>
      <c r="N50" s="89"/>
      <c r="O50" s="89"/>
      <c r="P50" s="89"/>
      <c r="Q50" s="89"/>
      <c r="R50" s="89"/>
      <c r="S50" s="89"/>
      <c r="T50" s="89"/>
      <c r="U50" s="89"/>
      <c r="V50" s="89"/>
      <c r="W50" s="89"/>
      <c r="X50" s="89"/>
      <c r="Y50" s="89"/>
      <c r="Z50" s="89"/>
    </row>
    <row r="51" spans="1:26" ht="14.4">
      <c r="A51" s="119" t="s">
        <v>1424</v>
      </c>
      <c r="B51" s="100"/>
      <c r="C51" s="89"/>
      <c r="D51" s="89"/>
      <c r="E51" s="89"/>
      <c r="F51" s="89"/>
      <c r="G51" s="89"/>
      <c r="H51" s="89"/>
      <c r="I51" s="89"/>
      <c r="J51" s="89"/>
      <c r="K51" s="89"/>
      <c r="L51" s="89"/>
      <c r="M51" s="89"/>
      <c r="N51" s="89"/>
      <c r="O51" s="89"/>
      <c r="P51" s="89"/>
      <c r="Q51" s="89"/>
      <c r="R51" s="89"/>
      <c r="S51" s="89"/>
      <c r="T51" s="89"/>
      <c r="U51" s="89"/>
      <c r="V51" s="89"/>
      <c r="W51" s="89"/>
      <c r="X51" s="89"/>
      <c r="Y51" s="89"/>
      <c r="Z51" s="89"/>
    </row>
    <row r="52" spans="1:26" ht="14.4">
      <c r="A52" s="119" t="str">
        <f>HYPERLINK("https://www.geeksforgeeks.org/find-the-number-of-jumps-to-reach-x-in-the-number-line-from-zero/","MIn Jump required with +i or -i allowed")</f>
        <v>MIn Jump required with +i or -i allowed</v>
      </c>
      <c r="B52" s="100"/>
      <c r="C52" s="89"/>
      <c r="D52" s="89"/>
      <c r="E52" s="89"/>
      <c r="F52" s="89"/>
      <c r="G52" s="89"/>
      <c r="H52" s="89"/>
      <c r="I52" s="89"/>
      <c r="J52" s="89"/>
      <c r="K52" s="89"/>
      <c r="L52" s="89"/>
      <c r="M52" s="89"/>
      <c r="N52" s="89"/>
      <c r="O52" s="89"/>
      <c r="P52" s="89"/>
      <c r="Q52" s="89"/>
      <c r="R52" s="89"/>
      <c r="S52" s="89"/>
      <c r="T52" s="89"/>
      <c r="U52" s="89"/>
      <c r="V52" s="89"/>
      <c r="W52" s="89"/>
      <c r="X52" s="89"/>
      <c r="Y52" s="89"/>
      <c r="Z52" s="89"/>
    </row>
    <row r="53" spans="1:26" ht="14.4">
      <c r="A53" s="119" t="s">
        <v>1423</v>
      </c>
      <c r="B53" s="100"/>
      <c r="C53" s="89"/>
      <c r="D53" s="89"/>
      <c r="E53" s="89"/>
      <c r="F53" s="89"/>
      <c r="G53" s="89"/>
      <c r="H53" s="89"/>
      <c r="I53" s="89"/>
      <c r="J53" s="89"/>
      <c r="K53" s="89"/>
      <c r="L53" s="89"/>
      <c r="M53" s="89"/>
      <c r="N53" s="89"/>
      <c r="O53" s="89"/>
      <c r="P53" s="89"/>
      <c r="Q53" s="89"/>
      <c r="R53" s="89"/>
      <c r="S53" s="89"/>
      <c r="T53" s="89"/>
      <c r="U53" s="89"/>
      <c r="V53" s="89"/>
      <c r="W53" s="89"/>
      <c r="X53" s="89"/>
      <c r="Y53" s="89"/>
      <c r="Z53" s="89"/>
    </row>
    <row r="54" spans="1:26" ht="14.4">
      <c r="A54" s="119"/>
      <c r="B54" s="100"/>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4.4">
      <c r="A55" s="117" t="s">
        <v>1422</v>
      </c>
      <c r="B55" s="100"/>
      <c r="C55" s="89"/>
      <c r="D55" s="89"/>
      <c r="E55" s="89"/>
      <c r="F55" s="89"/>
      <c r="G55" s="89"/>
      <c r="H55" s="89"/>
      <c r="I55" s="89"/>
      <c r="J55" s="89"/>
      <c r="K55" s="89"/>
      <c r="L55" s="89"/>
      <c r="M55" s="89"/>
      <c r="N55" s="89"/>
      <c r="O55" s="89"/>
      <c r="P55" s="89"/>
      <c r="Q55" s="89"/>
      <c r="R55" s="89"/>
      <c r="S55" s="89"/>
      <c r="T55" s="89"/>
      <c r="U55" s="89"/>
      <c r="V55" s="89"/>
      <c r="W55" s="89"/>
      <c r="X55" s="89"/>
      <c r="Y55" s="89"/>
      <c r="Z55" s="89"/>
    </row>
    <row r="56" spans="1:26" ht="14.4">
      <c r="A56" s="119" t="str">
        <f>HYPERLINK("https://leetcode.com/problems/minimum-domino-rotations-for-equal-row/","minimum domino rotation for equal row")</f>
        <v>minimum domino rotation for equal row</v>
      </c>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spans="1:26" ht="14.4">
      <c r="A57" s="119" t="str">
        <f>HYPERLINK("https://leetcode.com/problems/multiply-strings/","multiply strings")</f>
        <v>multiply strings</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4.4">
      <c r="A58" s="119" t="str">
        <f>HYPERLINK("https://www.geeksforgeeks.org/given-an-array-a-and-a-number-x-check-for-pair-in-a-with-sum-as-x/","Two Sum")</f>
        <v>Two Sum</v>
      </c>
      <c r="B58" s="100"/>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4.4">
      <c r="A59" s="119" t="str">
        <f>HYPERLINK("https://www.geeksforgeeks.org/find-a-pair-with-the-given-difference/","Two Difference")</f>
        <v>Two Difference</v>
      </c>
      <c r="B59" s="100"/>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4.4">
      <c r="A60" s="119" t="s">
        <v>1421</v>
      </c>
      <c r="B60" s="100"/>
      <c r="C60" s="89"/>
      <c r="D60" s="89"/>
      <c r="E60" s="89"/>
      <c r="F60" s="89"/>
      <c r="G60" s="89"/>
      <c r="H60" s="89"/>
      <c r="I60" s="89"/>
      <c r="J60" s="89"/>
      <c r="K60" s="89"/>
      <c r="L60" s="89"/>
      <c r="M60" s="89"/>
      <c r="N60" s="89"/>
      <c r="O60" s="89"/>
      <c r="P60" s="89"/>
      <c r="Q60" s="89"/>
      <c r="R60" s="89"/>
      <c r="S60" s="89"/>
      <c r="T60" s="89"/>
      <c r="U60" s="89"/>
      <c r="V60" s="89"/>
      <c r="W60" s="89"/>
      <c r="X60" s="89"/>
      <c r="Y60" s="89"/>
      <c r="Z60" s="89"/>
    </row>
    <row r="61" spans="1:26" ht="14.4">
      <c r="A61" s="119" t="str">
        <f>HYPERLINK("https://leetcode.com/problems/smallest-range-covering-elements-from-k-lists/","smallest range from k lists")</f>
        <v>smallest range from k lists</v>
      </c>
      <c r="B61" s="89"/>
      <c r="C61" s="89"/>
      <c r="D61" s="89"/>
      <c r="E61" s="89"/>
      <c r="F61" s="89"/>
      <c r="G61" s="89"/>
      <c r="H61" s="89"/>
      <c r="I61" s="89"/>
      <c r="J61" s="89"/>
      <c r="K61" s="89"/>
      <c r="L61" s="89"/>
      <c r="M61" s="89"/>
      <c r="N61" s="89"/>
      <c r="O61" s="89"/>
      <c r="P61" s="89"/>
      <c r="Q61" s="89"/>
      <c r="R61" s="89"/>
      <c r="S61" s="89"/>
      <c r="T61" s="89"/>
      <c r="U61" s="89"/>
      <c r="V61" s="89"/>
      <c r="W61" s="89"/>
      <c r="X61" s="89"/>
      <c r="Y61" s="89"/>
      <c r="Z61" s="89"/>
    </row>
    <row r="62" spans="1:26" ht="14.4">
      <c r="A62" s="119" t="str">
        <f>HYPERLINK("https://leetcode.com/problems/maximum-product-subarray/","maximum product subarray")</f>
        <v>maximum product subarray</v>
      </c>
      <c r="B62" s="89"/>
      <c r="C62" s="89"/>
      <c r="D62" s="89"/>
      <c r="E62" s="89"/>
      <c r="F62" s="89"/>
      <c r="G62" s="89"/>
      <c r="H62" s="89"/>
      <c r="I62" s="89"/>
      <c r="J62" s="89"/>
      <c r="K62" s="89"/>
      <c r="L62" s="89"/>
      <c r="M62" s="89"/>
      <c r="N62" s="89"/>
      <c r="O62" s="89"/>
      <c r="P62" s="89"/>
      <c r="Q62" s="89"/>
      <c r="R62" s="89"/>
      <c r="S62" s="89"/>
      <c r="T62" s="89"/>
      <c r="U62" s="89"/>
      <c r="V62" s="89"/>
      <c r="W62" s="89"/>
      <c r="X62" s="89"/>
      <c r="Y62" s="89"/>
      <c r="Z62" s="89"/>
    </row>
    <row r="63" spans="1:26" ht="14.4">
      <c r="A63" s="119" t="str">
        <f>HYPERLINK("https://www.geeksforgeeks.org/minimum-number-platforms-required-railwaybus-station/","Min No. of Platform")</f>
        <v>Min No. of Platform</v>
      </c>
      <c r="B63" s="100"/>
      <c r="C63" s="89"/>
      <c r="D63" s="89"/>
      <c r="E63" s="89"/>
      <c r="F63" s="89"/>
      <c r="G63" s="89"/>
      <c r="H63" s="89"/>
      <c r="I63" s="89"/>
      <c r="J63" s="89"/>
      <c r="K63" s="89"/>
      <c r="L63" s="89"/>
      <c r="M63" s="89"/>
      <c r="N63" s="89"/>
      <c r="O63" s="89"/>
      <c r="P63" s="89"/>
      <c r="Q63" s="89"/>
      <c r="R63" s="89"/>
      <c r="S63" s="89"/>
      <c r="T63" s="89"/>
      <c r="U63" s="89"/>
      <c r="V63" s="89"/>
      <c r="W63" s="89"/>
      <c r="X63" s="89"/>
      <c r="Y63" s="89"/>
      <c r="Z63" s="89"/>
    </row>
    <row r="64" spans="1:26" ht="14.4">
      <c r="A64" s="119" t="str">
        <f>HYPERLINK("https://leetcode.com/problems/reverse-vowels-of-a-string/","Reverse vowels of a string")</f>
        <v>Reverse vowels of a string</v>
      </c>
      <c r="B64" s="101"/>
      <c r="C64" s="89"/>
      <c r="D64" s="89"/>
      <c r="E64" s="89"/>
      <c r="F64" s="89"/>
      <c r="G64" s="89"/>
      <c r="H64" s="89"/>
      <c r="I64" s="89"/>
      <c r="J64" s="89"/>
      <c r="K64" s="89"/>
      <c r="L64" s="89"/>
      <c r="M64" s="89"/>
      <c r="N64" s="89"/>
      <c r="O64" s="89"/>
      <c r="P64" s="89"/>
      <c r="Q64" s="89"/>
      <c r="R64" s="89"/>
      <c r="S64" s="89"/>
      <c r="T64" s="89"/>
      <c r="U64" s="89"/>
      <c r="V64" s="89"/>
      <c r="W64" s="89"/>
      <c r="X64" s="89"/>
      <c r="Y64" s="89"/>
      <c r="Z64" s="89"/>
    </row>
    <row r="65" spans="1:26" ht="14.4">
      <c r="A65" s="119"/>
      <c r="B65" s="89"/>
      <c r="C65" s="89"/>
      <c r="D65" s="89"/>
      <c r="E65" s="89"/>
      <c r="F65" s="89"/>
      <c r="G65" s="89"/>
      <c r="H65" s="89"/>
      <c r="I65" s="89"/>
      <c r="J65" s="89"/>
      <c r="K65" s="89"/>
      <c r="L65" s="89"/>
      <c r="M65" s="89"/>
      <c r="N65" s="89"/>
      <c r="O65" s="89"/>
      <c r="P65" s="89"/>
      <c r="Q65" s="89"/>
      <c r="R65" s="89"/>
      <c r="S65" s="89"/>
      <c r="T65" s="89"/>
      <c r="U65" s="89"/>
      <c r="V65" s="89"/>
      <c r="W65" s="89"/>
      <c r="X65" s="89"/>
      <c r="Y65" s="89"/>
      <c r="Z65" s="89"/>
    </row>
    <row r="66" spans="1:26" ht="14.4">
      <c r="A66" s="117" t="s">
        <v>1420</v>
      </c>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spans="1:26" ht="14.4">
      <c r="A67" s="121" t="str">
        <f>HYPERLINK("https://leetcode.com/problems/first-missing-positive/","First missing positive")</f>
        <v>First missing positive</v>
      </c>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spans="1:26" ht="14.4">
      <c r="A68" s="121" t="str">
        <f>HYPERLINK("https://leetcode.com/problems/rotate-image/","rotate image")</f>
        <v>rotate image</v>
      </c>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spans="1:26" ht="14.4">
      <c r="A69" s="126" t="s">
        <v>33</v>
      </c>
      <c r="B69" s="101"/>
      <c r="C69" s="89"/>
      <c r="D69" s="89"/>
      <c r="E69" s="89"/>
      <c r="F69" s="89"/>
      <c r="G69" s="89"/>
      <c r="H69" s="89"/>
      <c r="I69" s="89"/>
      <c r="J69" s="89"/>
      <c r="K69" s="89"/>
      <c r="L69" s="89"/>
      <c r="M69" s="89"/>
      <c r="N69" s="89"/>
      <c r="O69" s="89"/>
      <c r="P69" s="89"/>
      <c r="Q69" s="89"/>
      <c r="R69" s="89"/>
      <c r="S69" s="89"/>
      <c r="T69" s="89"/>
      <c r="U69" s="89"/>
      <c r="V69" s="89"/>
      <c r="W69" s="89"/>
      <c r="X69" s="89"/>
      <c r="Y69" s="89"/>
      <c r="Z69" s="89"/>
    </row>
    <row r="70" spans="1:26" ht="14.4">
      <c r="A70" s="121" t="str">
        <f>HYPERLINK("https://leetcode.com/problems/push-dominoes/","push dominoes")</f>
        <v>push dominoes</v>
      </c>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spans="1:26" ht="14.4">
      <c r="A71" s="121" t="str">
        <f>HYPERLINK("https://leetcode.com/problems/valid-palindrome-ii/","valid pallindrome 2")</f>
        <v>valid pallindrome 2</v>
      </c>
      <c r="B71" s="100"/>
      <c r="C71" s="89"/>
      <c r="D71" s="89"/>
      <c r="E71" s="89"/>
      <c r="F71" s="89"/>
      <c r="G71" s="89"/>
      <c r="H71" s="89"/>
      <c r="I71" s="89"/>
      <c r="J71" s="89"/>
      <c r="K71" s="89"/>
      <c r="L71" s="89"/>
      <c r="M71" s="89"/>
      <c r="N71" s="89"/>
      <c r="O71" s="89"/>
      <c r="P71" s="89"/>
      <c r="Q71" s="89"/>
      <c r="R71" s="89"/>
      <c r="S71" s="89"/>
      <c r="T71" s="89"/>
      <c r="U71" s="89"/>
      <c r="V71" s="89"/>
      <c r="W71" s="89"/>
      <c r="X71" s="89"/>
      <c r="Y71" s="89"/>
      <c r="Z71" s="89"/>
    </row>
    <row r="72" spans="1:26" ht="14.4">
      <c r="A72" s="121" t="s">
        <v>1419</v>
      </c>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spans="1:26" ht="14.4">
      <c r="A73" s="126" t="s">
        <v>1418</v>
      </c>
      <c r="B73" s="101"/>
      <c r="C73" s="89"/>
      <c r="D73" s="89"/>
      <c r="E73" s="89"/>
      <c r="F73" s="89"/>
      <c r="G73" s="89"/>
      <c r="H73" s="89"/>
      <c r="I73" s="89"/>
      <c r="J73" s="89"/>
      <c r="K73" s="89"/>
      <c r="L73" s="89"/>
      <c r="M73" s="89"/>
      <c r="N73" s="89"/>
      <c r="O73" s="89"/>
      <c r="P73" s="89"/>
      <c r="Q73" s="89"/>
      <c r="R73" s="89"/>
      <c r="S73" s="89"/>
      <c r="T73" s="89"/>
      <c r="U73" s="89"/>
      <c r="V73" s="89"/>
      <c r="W73" s="89"/>
      <c r="X73" s="89"/>
      <c r="Y73" s="89"/>
      <c r="Z73" s="89"/>
    </row>
    <row r="74" spans="1:26" ht="14.4">
      <c r="A74" s="117" t="s">
        <v>1417</v>
      </c>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spans="1:26" ht="14.4">
      <c r="A75" s="119" t="s">
        <v>1416</v>
      </c>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spans="1:26" ht="13.8">
      <c r="A76" s="120" t="str">
        <f>HYPERLINK("https://www.codechef.com/SNCKPE19/problems/BUDDYNIM","Buddy nim")</f>
        <v>Buddy nim</v>
      </c>
      <c r="B76" s="99"/>
      <c r="C76" s="89"/>
      <c r="D76" s="89"/>
      <c r="E76" s="89"/>
      <c r="F76" s="89"/>
      <c r="G76" s="89"/>
      <c r="H76" s="89"/>
      <c r="I76" s="89"/>
      <c r="J76" s="89"/>
      <c r="K76" s="89"/>
      <c r="L76" s="89"/>
      <c r="M76" s="89"/>
      <c r="N76" s="89"/>
      <c r="O76" s="89"/>
      <c r="P76" s="89"/>
      <c r="Q76" s="89"/>
      <c r="R76" s="89"/>
      <c r="S76" s="89"/>
      <c r="T76" s="89"/>
      <c r="U76" s="89"/>
      <c r="V76" s="89"/>
      <c r="W76" s="89"/>
      <c r="X76" s="89"/>
      <c r="Y76" s="89"/>
      <c r="Z76" s="89"/>
    </row>
    <row r="77" spans="1:26" ht="14.4">
      <c r="A77" s="119" t="s">
        <v>1415</v>
      </c>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spans="1:26" ht="14.4">
      <c r="A78" s="119" t="s">
        <v>1414</v>
      </c>
      <c r="B78" s="101"/>
      <c r="C78" s="89"/>
      <c r="D78" s="89"/>
      <c r="E78" s="89"/>
      <c r="F78" s="89"/>
      <c r="G78" s="89"/>
      <c r="H78" s="89"/>
      <c r="I78" s="89"/>
      <c r="J78" s="89"/>
      <c r="K78" s="89"/>
      <c r="L78" s="89"/>
      <c r="M78" s="89"/>
      <c r="N78" s="89"/>
      <c r="O78" s="89"/>
      <c r="P78" s="89"/>
      <c r="Q78" s="89"/>
      <c r="R78" s="89"/>
      <c r="S78" s="89"/>
      <c r="T78" s="89"/>
      <c r="U78" s="89"/>
      <c r="V78" s="89"/>
      <c r="W78" s="89"/>
      <c r="X78" s="89"/>
      <c r="Y78" s="89"/>
      <c r="Z78" s="89"/>
    </row>
    <row r="79" spans="1:26" ht="14.4">
      <c r="A79" s="119" t="s">
        <v>1413</v>
      </c>
      <c r="B79" s="101"/>
      <c r="C79" s="89"/>
      <c r="D79" s="89"/>
      <c r="E79" s="89"/>
      <c r="F79" s="89"/>
      <c r="G79" s="89"/>
      <c r="H79" s="89"/>
      <c r="I79" s="89"/>
      <c r="J79" s="89"/>
      <c r="K79" s="89"/>
      <c r="L79" s="89"/>
      <c r="M79" s="89"/>
      <c r="N79" s="89"/>
      <c r="O79" s="89"/>
      <c r="P79" s="89"/>
      <c r="Q79" s="89"/>
      <c r="R79" s="89"/>
      <c r="S79" s="89"/>
      <c r="T79" s="89"/>
      <c r="U79" s="89"/>
      <c r="V79" s="89"/>
      <c r="W79" s="89"/>
      <c r="X79" s="89"/>
      <c r="Y79" s="89"/>
      <c r="Z79" s="89"/>
    </row>
    <row r="80" spans="1:26" ht="14.4">
      <c r="A80" s="121" t="str">
        <f>HYPERLINK("https://leetcode.com/problems/maximum-sum-of-two-non-overlapping-subarrays/","max sum of two non overlapping subarrays")</f>
        <v>max sum of two non overlapping subarrays</v>
      </c>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spans="1:26" ht="14.4">
      <c r="A81" s="127" t="s">
        <v>9</v>
      </c>
      <c r="B81" s="101"/>
      <c r="C81" s="89"/>
      <c r="D81" s="89"/>
      <c r="E81" s="89"/>
      <c r="F81" s="89"/>
      <c r="G81" s="89"/>
      <c r="H81" s="89"/>
      <c r="I81" s="89"/>
      <c r="J81" s="89"/>
      <c r="K81" s="89"/>
      <c r="L81" s="89"/>
      <c r="M81" s="89"/>
      <c r="N81" s="89"/>
      <c r="O81" s="89"/>
      <c r="P81" s="89"/>
      <c r="Q81" s="89"/>
      <c r="R81" s="89"/>
      <c r="S81" s="89"/>
      <c r="T81" s="89"/>
      <c r="U81" s="89"/>
      <c r="V81" s="89"/>
      <c r="W81" s="89"/>
      <c r="X81" s="89"/>
      <c r="Y81" s="89"/>
      <c r="Z81" s="89"/>
    </row>
    <row r="82" spans="1:26" ht="14.4">
      <c r="A82" s="128" t="s">
        <v>1412</v>
      </c>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spans="1:26" ht="14.4">
      <c r="A83" s="117" t="s">
        <v>1411</v>
      </c>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spans="1:26" ht="14.4">
      <c r="A84" s="119" t="s">
        <v>1410</v>
      </c>
      <c r="B84" s="100"/>
      <c r="C84" s="89"/>
      <c r="D84" s="89"/>
      <c r="E84" s="89"/>
      <c r="F84" s="89"/>
      <c r="G84" s="89"/>
      <c r="H84" s="89"/>
      <c r="I84" s="89"/>
      <c r="J84" s="89"/>
      <c r="K84" s="89"/>
      <c r="L84" s="89"/>
      <c r="M84" s="89"/>
      <c r="N84" s="89"/>
      <c r="O84" s="89"/>
      <c r="P84" s="89"/>
      <c r="Q84" s="89"/>
      <c r="R84" s="89"/>
      <c r="S84" s="89"/>
      <c r="T84" s="89"/>
      <c r="U84" s="89"/>
      <c r="V84" s="89"/>
      <c r="W84" s="89"/>
      <c r="X84" s="89"/>
      <c r="Y84" s="89"/>
      <c r="Z84" s="89"/>
    </row>
    <row r="85" spans="1:26" ht="14.4">
      <c r="A85" s="119" t="s">
        <v>1409</v>
      </c>
      <c r="B85" s="100"/>
      <c r="C85" s="89"/>
      <c r="D85" s="89"/>
      <c r="E85" s="89"/>
      <c r="F85" s="89"/>
      <c r="G85" s="89"/>
      <c r="H85" s="89"/>
      <c r="I85" s="89"/>
      <c r="J85" s="89"/>
      <c r="K85" s="89"/>
      <c r="L85" s="89"/>
      <c r="M85" s="89"/>
      <c r="N85" s="89"/>
      <c r="O85" s="89"/>
      <c r="P85" s="89"/>
      <c r="Q85" s="89"/>
      <c r="R85" s="89"/>
      <c r="S85" s="89"/>
      <c r="T85" s="89"/>
      <c r="U85" s="89"/>
      <c r="V85" s="89"/>
      <c r="W85" s="89"/>
      <c r="X85" s="89"/>
      <c r="Y85" s="89"/>
      <c r="Z85" s="89"/>
    </row>
    <row r="86" spans="1:26" ht="14.4">
      <c r="A86" s="119" t="str">
        <f>HYPERLINK("https://www.codechef.com/COOK103B/problems/MAXREMOV","Max range query")</f>
        <v>Max range query</v>
      </c>
      <c r="B86" s="100"/>
      <c r="C86" s="89"/>
      <c r="D86" s="89"/>
      <c r="E86" s="89"/>
      <c r="F86" s="89"/>
      <c r="G86" s="89"/>
      <c r="H86" s="89"/>
      <c r="I86" s="89"/>
      <c r="J86" s="89"/>
      <c r="K86" s="89"/>
      <c r="L86" s="89"/>
      <c r="M86" s="89"/>
      <c r="N86" s="89"/>
      <c r="O86" s="89"/>
      <c r="P86" s="89"/>
      <c r="Q86" s="89"/>
      <c r="R86" s="89"/>
      <c r="S86" s="89"/>
      <c r="T86" s="89"/>
      <c r="U86" s="89"/>
      <c r="V86" s="89"/>
      <c r="W86" s="89"/>
      <c r="X86" s="89"/>
      <c r="Y86" s="89"/>
      <c r="Z86" s="89"/>
    </row>
    <row r="87" spans="1:26" ht="14.4">
      <c r="A87" s="119" t="s">
        <v>1408</v>
      </c>
      <c r="B87" s="100"/>
      <c r="C87" s="89"/>
      <c r="D87" s="89"/>
      <c r="E87" s="89"/>
      <c r="F87" s="89"/>
      <c r="G87" s="89"/>
      <c r="H87" s="89"/>
      <c r="I87" s="89"/>
      <c r="J87" s="89"/>
      <c r="K87" s="89"/>
      <c r="L87" s="89"/>
      <c r="M87" s="89"/>
      <c r="N87" s="89"/>
      <c r="O87" s="89"/>
      <c r="P87" s="89"/>
      <c r="Q87" s="89"/>
      <c r="R87" s="89"/>
      <c r="S87" s="89"/>
      <c r="T87" s="89"/>
      <c r="U87" s="89"/>
      <c r="V87" s="89"/>
      <c r="W87" s="89"/>
      <c r="X87" s="89"/>
      <c r="Y87" s="89"/>
      <c r="Z87" s="89"/>
    </row>
    <row r="88" spans="1:26" ht="14.4">
      <c r="A88" s="119" t="s">
        <v>1407</v>
      </c>
      <c r="B88" s="100"/>
      <c r="C88" s="89"/>
      <c r="D88" s="89"/>
      <c r="E88" s="89"/>
      <c r="F88" s="89"/>
      <c r="G88" s="89"/>
      <c r="H88" s="89"/>
      <c r="I88" s="89"/>
      <c r="J88" s="89"/>
      <c r="K88" s="89"/>
      <c r="L88" s="89"/>
      <c r="M88" s="89"/>
      <c r="N88" s="89"/>
      <c r="O88" s="89"/>
      <c r="P88" s="89"/>
      <c r="Q88" s="89"/>
      <c r="R88" s="89"/>
      <c r="S88" s="89"/>
      <c r="T88" s="89"/>
      <c r="U88" s="89"/>
      <c r="V88" s="89"/>
      <c r="W88" s="89"/>
      <c r="X88" s="89"/>
      <c r="Y88" s="89"/>
      <c r="Z88" s="89"/>
    </row>
    <row r="89" spans="1:26" ht="13.2">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spans="1:26" ht="18">
      <c r="A90" s="116" t="s">
        <v>1406</v>
      </c>
      <c r="B90" s="98"/>
      <c r="C90" s="98"/>
      <c r="D90" s="98"/>
      <c r="E90" s="98"/>
      <c r="F90" s="98"/>
      <c r="G90" s="98"/>
      <c r="H90" s="98"/>
      <c r="I90" s="98"/>
      <c r="J90" s="98"/>
      <c r="K90" s="98"/>
      <c r="L90" s="98"/>
      <c r="M90" s="98"/>
      <c r="N90" s="98"/>
      <c r="O90" s="98"/>
      <c r="P90" s="98"/>
      <c r="Q90" s="98"/>
      <c r="R90" s="98"/>
      <c r="S90" s="98"/>
      <c r="T90" s="98"/>
      <c r="U90" s="98"/>
      <c r="V90" s="98"/>
      <c r="W90" s="98"/>
      <c r="X90" s="98"/>
      <c r="Y90" s="98"/>
      <c r="Z90" s="98"/>
    </row>
    <row r="91" spans="1:26" ht="14.4">
      <c r="A91" s="117" t="s">
        <v>1405</v>
      </c>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spans="1:26" ht="15.6">
      <c r="A92" s="129" t="s">
        <v>37</v>
      </c>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spans="1:26" ht="15.6">
      <c r="A93" s="130" t="s">
        <v>38</v>
      </c>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spans="1:26" ht="13.2">
      <c r="A94" s="131" t="s">
        <v>39</v>
      </c>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spans="1:26" ht="13.2">
      <c r="A95" s="132" t="s">
        <v>40</v>
      </c>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spans="1:26" ht="13.2">
      <c r="A96" s="132" t="s">
        <v>41</v>
      </c>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spans="1:26" ht="14.4">
      <c r="A97" s="124" t="s">
        <v>1404</v>
      </c>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spans="1:26" ht="15.6">
      <c r="A98" s="130" t="s">
        <v>43</v>
      </c>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spans="1:26" ht="13.2">
      <c r="A99" s="131" t="s">
        <v>44</v>
      </c>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spans="1:26" ht="13.2">
      <c r="A100" s="132" t="s">
        <v>45</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spans="1:26" ht="13.2">
      <c r="A101" s="132" t="s">
        <v>46</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spans="1:26" ht="13.2">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spans="1:26" ht="18">
      <c r="A103" s="116" t="s">
        <v>1403</v>
      </c>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spans="1:26" ht="14.4">
      <c r="A104" s="117" t="s">
        <v>1402</v>
      </c>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spans="1:26" ht="13.2">
      <c r="A105" s="108" t="s">
        <v>1401</v>
      </c>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spans="1:26" ht="14.4">
      <c r="A106" s="119" t="str">
        <f>HYPERLINK("https://leetcode.com/problems/median-of-two-sorted-arrays/","median of two sorted array")</f>
        <v>median of two sorted array</v>
      </c>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spans="1:26" ht="14.4">
      <c r="A107" s="121" t="str">
        <f>HYPERLINK("https://leetcode.com/problems/capacity-to-ship-packages-within-d-days/","capacity to ship within D days")</f>
        <v>capacity to ship within D days</v>
      </c>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spans="1:26" ht="14.4">
      <c r="A108" s="121" t="str">
        <f>HYPERLINK("https://leetcode.com/problems/koko-eating-bananas/","koko eating bananas")</f>
        <v>koko eating bananas</v>
      </c>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spans="1:26" ht="14.4">
      <c r="A109" s="119" t="str">
        <f>HYPERLINK("https://leetcode.com/problems/find-the-smallest-divisor-given-a-threshold/","smallest divisor given a threshold")</f>
        <v>smallest divisor given a threshold</v>
      </c>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spans="1:26" ht="14.4">
      <c r="A110" s="119" t="s">
        <v>1400</v>
      </c>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spans="1:26" ht="14.4">
      <c r="A111" s="119" t="str">
        <f>HYPERLINK("https://leetcode.com/problems/split-array-largest-sum/","split array largest sum")</f>
        <v>split array largest sum</v>
      </c>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spans="1:26" ht="14.4">
      <c r="A112" s="117" t="s">
        <v>1399</v>
      </c>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spans="1:26" ht="14.4">
      <c r="A113" s="119" t="s">
        <v>1398</v>
      </c>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spans="1:26" ht="14.4">
      <c r="A114" s="119" t="str">
        <f>HYPERLINK("https://leetcode.com/problems/k-th-smallest-prime-fraction/","Kth smallest prime fraction")</f>
        <v>Kth smallest prime fraction</v>
      </c>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spans="1:26" ht="14.4">
      <c r="A115" s="119" t="str">
        <f>HYPERLINK("https://leetcode.com/problems/search-in-rotated-sorted-array/","search in rotated sorted array")</f>
        <v>search in rotated sorted array</v>
      </c>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spans="1:26" ht="14.4">
      <c r="A116" s="119" t="s">
        <v>1397</v>
      </c>
      <c r="B116" s="101"/>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spans="1:26" ht="14.4">
      <c r="A117" s="119" t="s">
        <v>1396</v>
      </c>
      <c r="B117" s="101"/>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spans="1:26" ht="14.4">
      <c r="A118" s="119" t="s">
        <v>1395</v>
      </c>
      <c r="B118" s="101"/>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spans="1:26" ht="13.8">
      <c r="A119" s="127" t="str">
        <f>HYPERLINK("https://www.geeksforgeeks.org/counting-sort/","counting sort")</f>
        <v>counting sort</v>
      </c>
      <c r="B119" s="99"/>
      <c r="C119" s="9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spans="1:26" ht="13.8">
      <c r="A120" s="127" t="str">
        <f>HYPERLINK("https://www.geeksforgeeks.org/merge-sort/","merge sort")</f>
        <v>merge sort</v>
      </c>
      <c r="B120" s="99"/>
      <c r="C120" s="9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spans="1:26" ht="14.4">
      <c r="A121" s="121" t="str">
        <f>HYPERLINK("https://www.geeksforgeeks.org/counting-inversions/","count inversions")</f>
        <v>count inversions</v>
      </c>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spans="1:26" ht="18">
      <c r="A122" s="133" t="s">
        <v>1394</v>
      </c>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spans="1:26" ht="14.4">
      <c r="A123" s="117" t="s">
        <v>1393</v>
      </c>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spans="1:26" ht="14.4">
      <c r="A124" s="119" t="str">
        <f>HYPERLINK("https://leetcode.com/problems/reverse-linked-list/","reverse LinkedList")</f>
        <v>reverse LinkedList</v>
      </c>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spans="1:26" ht="14.4">
      <c r="A125" s="119" t="s">
        <v>1392</v>
      </c>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spans="1:26" ht="14.4">
      <c r="A126" s="119" t="str">
        <f>HYPERLINK("https://www.geeksforgeeks.org/write-a-c-function-to-print-the-middle-of-the-linked-list/","Find the middle element")</f>
        <v>Find the middle element</v>
      </c>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spans="1:26" ht="14.4">
      <c r="A127" s="119" t="str">
        <f>HYPERLINK("https://www.geeksforgeeks.org/detect-loop-in-a-linked-list/","Floyd cycle")</f>
        <v>Floyd cycle</v>
      </c>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spans="1:26" ht="14.4">
      <c r="A128" s="119" t="str">
        <f>HYPERLINK("https://www.geeksforgeeks.org/a-linked-list-with-next-and-arbit-pointer/","Clone a linkedlist")</f>
        <v>Clone a linkedlist</v>
      </c>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spans="1:26" ht="14.4">
      <c r="A129" s="119" t="s">
        <v>1391</v>
      </c>
      <c r="B129" s="101"/>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spans="1:26" ht="14.4">
      <c r="A130" s="124" t="s">
        <v>1390</v>
      </c>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spans="1:26" ht="13.8">
      <c r="A131" s="120" t="s">
        <v>1389</v>
      </c>
      <c r="B131" s="99"/>
      <c r="C131" s="9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spans="1:26" ht="14.4">
      <c r="A132" s="119" t="str">
        <f>HYPERLINK("https://leetcode.com/problems/lru-cache/","LRU Cache")</f>
        <v>LRU Cache</v>
      </c>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spans="1:26" ht="14.4">
      <c r="A133" s="122" t="s">
        <v>137</v>
      </c>
      <c r="B133" s="10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spans="1:26" ht="14.4">
      <c r="A134" s="122" t="s">
        <v>138</v>
      </c>
      <c r="B134" s="10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spans="1:26" ht="14.4">
      <c r="A135" s="122" t="s">
        <v>141</v>
      </c>
      <c r="B135" s="10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spans="1:26" ht="14.4">
      <c r="A136" s="122" t="s">
        <v>146</v>
      </c>
      <c r="B136" s="10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spans="1:26" ht="14.4">
      <c r="A137" s="124" t="s">
        <v>1388</v>
      </c>
      <c r="B137" s="10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spans="1:26" ht="14.4">
      <c r="A138" s="122" t="s">
        <v>148</v>
      </c>
      <c r="B138" s="10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spans="1:26" ht="14.4">
      <c r="A139" s="122" t="s">
        <v>151</v>
      </c>
      <c r="B139" s="10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spans="1:26" ht="14.4">
      <c r="A140" s="122" t="s">
        <v>152</v>
      </c>
      <c r="B140" s="10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spans="1:26" ht="14.4">
      <c r="A141" s="122" t="s">
        <v>156</v>
      </c>
      <c r="B141" s="10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spans="1:26" ht="14.4">
      <c r="A142" s="122" t="s">
        <v>130</v>
      </c>
      <c r="B142" s="105"/>
      <c r="C142" s="93"/>
      <c r="D142" s="93"/>
      <c r="E142" s="93"/>
      <c r="F142" s="93"/>
      <c r="G142" s="93"/>
      <c r="H142" s="93"/>
      <c r="I142" s="89"/>
      <c r="J142" s="89"/>
      <c r="K142" s="89"/>
      <c r="L142" s="89"/>
      <c r="M142" s="89"/>
      <c r="N142" s="89"/>
      <c r="O142" s="89"/>
      <c r="P142" s="89"/>
      <c r="Q142" s="89"/>
      <c r="R142" s="89"/>
      <c r="S142" s="89"/>
      <c r="T142" s="89"/>
      <c r="U142" s="89"/>
      <c r="V142" s="89"/>
      <c r="W142" s="89"/>
      <c r="X142" s="89"/>
      <c r="Y142" s="89"/>
      <c r="Z142" s="89"/>
    </row>
    <row r="143" spans="1:26" ht="14.4">
      <c r="A143" s="122" t="s">
        <v>134</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spans="1:26" ht="18">
      <c r="A144" s="116" t="s">
        <v>1387</v>
      </c>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spans="1:26" ht="14.4">
      <c r="A145" s="117" t="s">
        <v>1386</v>
      </c>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spans="1:26" ht="13.8">
      <c r="A146" s="120" t="str">
        <f>HYPERLINK("https://www.geeksforgeeks.org/next-greater-element/","Next Greater Element on right")</f>
        <v>Next Greater Element on right</v>
      </c>
      <c r="B146" s="99"/>
      <c r="C146" s="9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spans="1:26" ht="13.8">
      <c r="A147" s="120" t="str">
        <f>HYPERLINK("https://leetcode.com/problems/next-greater-element-ii/","Next Greater Element 2")</f>
        <v>Next Greater Element 2</v>
      </c>
      <c r="B147" s="99"/>
      <c r="C147" s="9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spans="1:26" ht="13.8">
      <c r="A148" s="120" t="str">
        <f>HYPERLINK("https://leetcode.com/problems/daily-temperatures/","Daily Temperatures")</f>
        <v>Daily Temperatures</v>
      </c>
      <c r="B148" s="99"/>
      <c r="C148" s="9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spans="1:26" ht="13.8">
      <c r="A149" s="120" t="str">
        <f>HYPERLINK("https://www.geeksforgeeks.org/the-stock-span-problem/","Stock Span Problem")</f>
        <v>Stock Span Problem</v>
      </c>
      <c r="B149" s="99"/>
      <c r="C149" s="9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spans="1:26" ht="13.8">
      <c r="A150" s="120" t="str">
        <f>HYPERLINK("https://www.geeksforgeeks.org/find-maximum-difference-between-nearest-left-and-right-smaller-elements/","maximum difference between left and right smaller")</f>
        <v>maximum difference between left and right smaller</v>
      </c>
      <c r="B150" s="99"/>
      <c r="C150" s="9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spans="1:26" ht="13.8">
      <c r="A151" s="120" t="str">
        <f>HYPERLINK("https://leetcode.com/problems/largest-rectangle-in-histogram/","Largest Rectangular Area Histogram")</f>
        <v>Largest Rectangular Area Histogram</v>
      </c>
      <c r="B151" s="99"/>
      <c r="C151" s="9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spans="1:26" ht="13.8">
      <c r="A152" s="120" t="str">
        <f>HYPERLINK("https://leetcode.com/problems/maximal-rectangle/","maximu size binary matrix containing 1")</f>
        <v>maximu size binary matrix containing 1</v>
      </c>
      <c r="B152" s="99"/>
      <c r="C152" s="9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spans="1:26" ht="13.8">
      <c r="A153" s="120" t="str">
        <f>HYPERLINK("https://leetcode.com/problems/asteroid-collision/","Asteroid Collision")</f>
        <v>Asteroid Collision</v>
      </c>
      <c r="B153" s="99"/>
      <c r="C153" s="9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spans="1:26" ht="14.4">
      <c r="A154" s="117" t="s">
        <v>1385</v>
      </c>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spans="1:26" ht="13.8">
      <c r="A155" s="120" t="str">
        <f>HYPERLINK("https://leetcode.com/problems/valid-parentheses/","Valid Parentheses")</f>
        <v>Valid Parentheses</v>
      </c>
      <c r="B155" s="99"/>
      <c r="C155" s="9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spans="1:26" ht="13.8">
      <c r="A156" s="120" t="str">
        <f>HYPERLINK("https://www.geeksforgeeks.org/length-of-the-longest-valid-substring/","Length of longest valid substring")</f>
        <v>Length of longest valid substring</v>
      </c>
      <c r="B156" s="99"/>
      <c r="C156" s="9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spans="1:26" ht="13.8">
      <c r="A157" s="120" t="str">
        <f>HYPERLINK("https://www.geeksforgeeks.org/find-expression-duplicate-parenthesis-not/","Count of duplicate Parentheses")</f>
        <v>Count of duplicate Parentheses</v>
      </c>
      <c r="B157" s="9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spans="1:26" ht="13.8">
      <c r="A158" s="120" t="str">
        <f>HYPERLINK("https://www.geeksforgeeks.org/minimum-number-of-bracket-reversals-needed-to-make-an-expression-balanced/","Minimum Number of bracket reversal")</f>
        <v>Minimum Number of bracket reversal</v>
      </c>
      <c r="B158" s="99"/>
      <c r="C158" s="9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spans="1:26" ht="13.8">
      <c r="A159" s="120" t="str">
        <f>HYPERLINK("https://leetcode.com/problems/minimum-add-to-make-parentheses-valid/","Minimum Add To make Parentheses Valid")</f>
        <v>Minimum Add To make Parentheses Valid</v>
      </c>
      <c r="B159" s="9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spans="1:26" ht="13.8">
      <c r="A160" s="120" t="str">
        <f>HYPERLINK("https://leetcode.com/problems/remove-k-digits/","Remove K digits From number")</f>
        <v>Remove K digits From number</v>
      </c>
      <c r="B160" s="99"/>
      <c r="C160" s="9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spans="1:26" ht="13.8">
      <c r="A161" s="134" t="s">
        <v>1384</v>
      </c>
      <c r="B161" s="99"/>
      <c r="C161" s="9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spans="1:26" ht="13.8">
      <c r="A162" s="120" t="str">
        <f>HYPERLINK("https://www.geeksforgeeks.org/first-negative-integer-every-window-size-k/","First negative Integer in k sized window")</f>
        <v>First negative Integer in k sized window</v>
      </c>
      <c r="B162" s="99"/>
      <c r="C162" s="9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spans="1:26" ht="14.4">
      <c r="A163" s="119" t="str">
        <f>HYPERLINK("https://www.geeksforgeeks.org/maximum-sum-of-smallest-and-second-smallest-in-an-array/","Maximum sum of smallest and second smallest")</f>
        <v>Maximum sum of smallest and second smallest</v>
      </c>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spans="1:26" ht="14.4">
      <c r="A164" s="119" t="str">
        <f>HYPERLINK("https://www.geeksforgeeks.org/reversing-first-k-elements-queue/","K reverse in a queue")</f>
        <v>K reverse in a queue</v>
      </c>
      <c r="B164" s="101"/>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spans="1:26" ht="14.4">
      <c r="A165" s="119" t="str">
        <f>HYPERLINK("https://www.geeksforgeeks.org/efficiently-implement-k-stacks-single-array/","K stacks in a single array")</f>
        <v>K stacks in a single array</v>
      </c>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spans="1:26" ht="14.4">
      <c r="A166" s="11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spans="1:26" ht="14.4">
      <c r="A167" s="117" t="s">
        <v>1383</v>
      </c>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spans="1:26" ht="14.4">
      <c r="A168" s="119" t="s">
        <v>1382</v>
      </c>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spans="1:26" ht="14.4">
      <c r="A169" s="119" t="str">
        <f>HYPERLINK("https://leetcode.com/problems/gas-station/","Gas Station")</f>
        <v>Gas Station</v>
      </c>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spans="1:26" ht="13.8">
      <c r="A170" s="120" t="str">
        <f>HYPERLINK("https://www.geeksforgeeks.org/interesting-method-generate-binary-numbers-1-n/","Print Binary Number")</f>
        <v>Print Binary Number</v>
      </c>
      <c r="B170" s="99"/>
      <c r="C170" s="9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spans="1:26" ht="14.4">
      <c r="A171" s="119" t="s">
        <v>1381</v>
      </c>
      <c r="B171" s="89"/>
      <c r="C171" s="9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spans="1:26" ht="13.8">
      <c r="A172" s="120" t="str">
        <f>HYPERLINK("https://leetcode.com/problems/backspace-string-compare/","Backspace String Compare")</f>
        <v>Backspace String Compare</v>
      </c>
      <c r="B172" s="99"/>
      <c r="C172" s="9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spans="1:26" ht="13.8">
      <c r="A173" s="120" t="str">
        <f>HYPERLINK("https://leetcode.com/problems/car-fleet/","Car fleet")</f>
        <v>Car fleet</v>
      </c>
      <c r="B173" s="99"/>
      <c r="C173" s="9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spans="1:26" ht="14.4">
      <c r="A174" s="119" t="str">
        <f>HYPERLINK("https://leetcode.com/problems/validate-stack-sequences/","Validate Stack")</f>
        <v>Validate Stack</v>
      </c>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spans="1:26" ht="14.4">
      <c r="A175" s="117" t="s">
        <v>1380</v>
      </c>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spans="1:26" ht="14.4">
      <c r="A176" s="121" t="str">
        <f>HYPERLINK("https://leetcode.com/problems/maximum-frequency-stack/","max frequency stack")</f>
        <v>max frequency stack</v>
      </c>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spans="1:26" ht="14.4">
      <c r="A177" s="121" t="str">
        <f>HYPERLINK("https://leetcode.com/problems/min-stack/","Min Stack")</f>
        <v>Min Stack</v>
      </c>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spans="1:26" ht="13.2">
      <c r="A178" s="108" t="s">
        <v>1379</v>
      </c>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spans="1:26" ht="14.4">
      <c r="A179" s="119" t="s">
        <v>1378</v>
      </c>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spans="1:26" ht="18">
      <c r="A180" s="135" t="s">
        <v>1377</v>
      </c>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spans="1:26" ht="14.4">
      <c r="A181" s="117" t="s">
        <v>1376</v>
      </c>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spans="1:26" ht="14.4">
      <c r="A182" s="119" t="str">
        <f>HYPERLINK("https://leetcode.com/problems/binary-tree-inorder-traversal/","Inorder Traversal")</f>
        <v>Inorder Traversal</v>
      </c>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spans="1:26" ht="14.4">
      <c r="A183" s="119" t="str">
        <f>HYPERLINK("https://leetcode.com/problems/binary-tree-preorder-traversal/","Preorder Traversal")</f>
        <v>Preorder Traversal</v>
      </c>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spans="1:26" ht="14.4">
      <c r="A184" s="119" t="str">
        <f>HYPERLINK("https://leetcode.com/problems/binary-tree-postorder-traversal/","Postorder Traversal")</f>
        <v>Postorder Traversal</v>
      </c>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spans="1:26" ht="14.4">
      <c r="A185" s="119" t="str">
        <f>HYPERLINK("https://leetcode.com/problems/binary-tree-level-order-traversal/","Binary Tree Level Order")</f>
        <v>Binary Tree Level Order</v>
      </c>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spans="1:26" ht="14.4">
      <c r="A186" s="136" t="str">
        <f>HYPERLINK("https://leetcode.com/problems/binary-search-tree-to-greater-sum-tree/","Binary search tree to greater sum")</f>
        <v>Binary search tree to greater sum</v>
      </c>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spans="1:26" ht="14.4">
      <c r="A187" s="136" t="s">
        <v>1375</v>
      </c>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spans="1:26" ht="14.4">
      <c r="A188" s="136" t="s">
        <v>1374</v>
      </c>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spans="1:26" ht="14.4">
      <c r="A189" s="124" t="s">
        <v>1373</v>
      </c>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spans="1:26" ht="14.4">
      <c r="A190" s="119" t="str">
        <f>HYPERLINK("https://leetcode.com/problems/binary-tree-right-side-view/","right side view")</f>
        <v>right side view</v>
      </c>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spans="1:26" ht="14.4">
      <c r="A191" s="119" t="str">
        <f>HYPERLINK("https://practice.geeksforgeeks.org/problems/left-view-of-binary-tree/1","Left View")</f>
        <v>Left View</v>
      </c>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spans="1:26" ht="14.4">
      <c r="A192" s="119" t="str">
        <f>HYPERLINK("https://www.geeksforgeeks.org/print-nodes-in-the-top-view-of-binary-tree-set-3/","Top View")</f>
        <v>Top View</v>
      </c>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spans="1:26" ht="14.4">
      <c r="A193" s="119" t="str">
        <f>HYPERLINK("https://practice.geeksforgeeks.org/problems/bottom-view-of-binary-tree/1","Bottom View")</f>
        <v>Bottom View</v>
      </c>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spans="1:26" ht="14.4">
      <c r="A194" s="119" t="s">
        <v>1372</v>
      </c>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spans="1:26" ht="14.4">
      <c r="A195" s="119" t="str">
        <f>HYPERLINK("https://leetcode.com/problems/vertical-order-traversal-of-a-binary-tree/","Vertical order")</f>
        <v>Vertical order</v>
      </c>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spans="1:26" ht="14.4">
      <c r="A196" s="119" t="str">
        <f>HYPERLINK("https://www.geeksforgeeks.org/diagonal-traversal-of-binary-tree/","Diagonal Traversal")</f>
        <v>Diagonal Traversal</v>
      </c>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spans="1:26" ht="14.4">
      <c r="A197" s="119" t="s">
        <v>1371</v>
      </c>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spans="1:26" ht="14.4">
      <c r="A198" s="119" t="s">
        <v>1370</v>
      </c>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spans="1:26" ht="14.4">
      <c r="A199" s="124" t="s">
        <v>1369</v>
      </c>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spans="1:26" ht="14.4">
      <c r="A200" s="119" t="str">
        <f>HYPERLINK("https://practice.geeksforgeeks.org/problems/image-multiplication/0","image multiplication")</f>
        <v>image multiplication</v>
      </c>
      <c r="B200" s="99"/>
      <c r="C200" s="9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spans="1:26" ht="14.4">
      <c r="A201" s="119" t="s">
        <v>1368</v>
      </c>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spans="1:26" ht="14.4">
      <c r="A202" s="119" t="s">
        <v>1367</v>
      </c>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spans="1:26" ht="14.4">
      <c r="A203" s="119" t="str">
        <f>HYPERLINK("https://leetcode.com/problems/lowest-common-ancestor-of-a-binary-search-tree/","Lowest common ancestor in BST")</f>
        <v>Lowest common ancestor in BST</v>
      </c>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spans="1:26" ht="14.4">
      <c r="A204" s="119" t="str">
        <f>HYPERLINK("https://practice.geeksforgeeks.org/problems/lowest-common-ancestor-in-a-binary-tree/1","Lowest common ancestor")</f>
        <v>Lowest common ancestor</v>
      </c>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spans="1:26" ht="14.4">
      <c r="A205" s="117" t="s">
        <v>1366</v>
      </c>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spans="1:26" ht="14.4">
      <c r="A206" s="136" t="str">
        <f>HYPERLINK("https://leetcode.com/problems/distribute-coins-in-binary-tree/","Distribute coins in a binary tree")</f>
        <v>Distribute coins in a binary tree</v>
      </c>
      <c r="B206" s="99"/>
      <c r="C206" s="9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spans="1:26" ht="14.4">
      <c r="A207" s="136" t="str">
        <f>HYPERLINK("https://leetcode.com/problems/binary-tree-cameras/","Binary Tree Cameras")</f>
        <v>Binary Tree Cameras</v>
      </c>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spans="1:26" ht="14.4">
      <c r="A208" s="119" t="s">
        <v>1365</v>
      </c>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spans="1:26" ht="14.4">
      <c r="A209" s="119" t="s">
        <v>1364</v>
      </c>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spans="1:26" ht="14.4">
      <c r="A210" s="119" t="str">
        <f>HYPERLINK("https://leetcode.com/problems/flatten-binary-tree-to-linked-list/","Flatten binary tree to linked list")</f>
        <v>Flatten binary tree to linked list</v>
      </c>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spans="1:26" ht="14.4">
      <c r="A211" s="136" t="str">
        <f>HYPERLINK("https://www.geeksforgeeks.org/convert-a-binary-tree-to-a-circular-doubly-link-list/","Convert a binary tree to circular doubly linked list")</f>
        <v>Convert a binary tree to circular doubly linked list</v>
      </c>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spans="1:26" ht="14.4">
      <c r="A212" s="137" t="s">
        <v>1363</v>
      </c>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spans="1:26" ht="14.4">
      <c r="A213" s="119" t="str">
        <f>HYPERLINK("https://www.geeksforgeeks.org/in-place-conversion-of-sorted-dll-to-balanced-bst/","Conversion of sorted DLL to BST")</f>
        <v>Conversion of sorted DLL to BST</v>
      </c>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spans="1:26" ht="14.4">
      <c r="A214" s="119" t="str">
        <f>HYPERLINK("https://www.geeksforgeeks.org/merge-two-balanced-binary-search-trees/","Merge Two BST")</f>
        <v>Merge Two BST</v>
      </c>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spans="1:26" ht="14.4">
      <c r="A215" s="119" t="str">
        <f>HYPERLINK("https://www.geeksforgeeks.org/clone-binary-tree-random-pointers/","clone a binary tree with random pointer")</f>
        <v>clone a binary tree with random pointer</v>
      </c>
      <c r="B215" s="99"/>
      <c r="C215" s="9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spans="1:26" ht="14.4">
      <c r="A216" s="119" t="s">
        <v>1362</v>
      </c>
      <c r="B216" s="99"/>
      <c r="C216" s="9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spans="1:26" ht="14.4">
      <c r="A217" s="119" t="str">
        <f>HYPERLINK("https://leetcode.com/problems/construct-binary-tree-from-preorder-and-inorder-traversal/","Construct from inorder and preorder")</f>
        <v>Construct from inorder and preorder</v>
      </c>
      <c r="B217" s="9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spans="1:26" ht="14.4">
      <c r="A218" s="119" t="str">
        <f>HYPERLINK("https://leetcode.com/problems/construct-binary-tree-from-inorder-and-postorder-traversal/","Construct from inorder and postorder")</f>
        <v>Construct from inorder and postorder</v>
      </c>
      <c r="B218" s="99"/>
      <c r="C218" s="9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spans="1:26" ht="14.4">
      <c r="A219" s="117" t="s">
        <v>1361</v>
      </c>
      <c r="B219" s="99"/>
      <c r="C219" s="9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spans="1:26" ht="14.4">
      <c r="A220" s="119" t="str">
        <f>HYPERLINK("https://www.geeksforgeeks.org/construct-tree-inorder-level-order-traversals/","Inorder and level order")</f>
        <v>Inorder and level order</v>
      </c>
      <c r="B220" s="99"/>
      <c r="C220" s="9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spans="1:26" ht="14.4">
      <c r="A221" s="119" t="s">
        <v>1360</v>
      </c>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spans="1:26" ht="14.4">
      <c r="A222" s="119" t="s">
        <v>1359</v>
      </c>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spans="1:26" ht="14.4">
      <c r="A223" s="119" t="s">
        <v>1358</v>
      </c>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spans="1:26" ht="14.4">
      <c r="A224" s="119" t="s">
        <v>1357</v>
      </c>
      <c r="B224" s="101"/>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spans="1:26" ht="14.4">
      <c r="A225" s="138" t="str">
        <f>HYPERLINK("https://leetcode.com/problems/serialize-and-deserialize-binary-tree/","serialize and deserialise")</f>
        <v>serialize and deserialise</v>
      </c>
      <c r="B225" s="99"/>
      <c r="C225" s="9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spans="1:26" ht="14.4">
      <c r="A226" s="138" t="s">
        <v>1356</v>
      </c>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spans="1:26" ht="14.4">
      <c r="A227" s="119" t="s">
        <v>1355</v>
      </c>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spans="1:26" ht="14.4">
      <c r="A228" s="124" t="s">
        <v>1354</v>
      </c>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spans="1:26" ht="14.4">
      <c r="A229" s="119" t="s">
        <v>1353</v>
      </c>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spans="1:26" ht="14.4">
      <c r="A230" s="119" t="s">
        <v>1352</v>
      </c>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spans="1:26" ht="14.4">
      <c r="A231" s="119" t="s">
        <v>1351</v>
      </c>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spans="1:26" ht="14.4">
      <c r="A232" s="119" t="s">
        <v>1350</v>
      </c>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spans="1:26" ht="13.2">
      <c r="A233" s="139" t="s">
        <v>1349</v>
      </c>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spans="1:26" ht="14.4">
      <c r="A234" s="119" t="s">
        <v>1348</v>
      </c>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spans="1:26" ht="18">
      <c r="A235" s="135" t="s">
        <v>1347</v>
      </c>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spans="1:26" ht="14.4">
      <c r="A236" s="117" t="s">
        <v>1346</v>
      </c>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spans="1:26" ht="14.4">
      <c r="A237" s="119" t="s">
        <v>1345</v>
      </c>
      <c r="B237" s="100"/>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spans="1:26" ht="13.8">
      <c r="A238" s="120" t="str">
        <f>HYPERLINK("https://leetcode.com/problems/is-graph-bipartite/","Bipartite graph")</f>
        <v>Bipartite graph</v>
      </c>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spans="1:26" ht="13.8">
      <c r="A239" s="120" t="str">
        <f>HYPERLINK("https://leetcode.com/problems/bus-routes/","Bus routes")</f>
        <v>Bus routes</v>
      </c>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spans="1:26" ht="13.8">
      <c r="A240" s="140" t="str">
        <f>HYPERLINK("https://www.spoj.com/problems/MST/","Prim's Algo")</f>
        <v>Prim's Algo</v>
      </c>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spans="1:26" ht="14.4">
      <c r="A241" s="136" t="s">
        <v>1344</v>
      </c>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spans="1:26" ht="13.8">
      <c r="A242" s="120" t="str">
        <f>HYPERLINK("https://www.geeksforgeeks.org/dijkstras-shortest-path-algorithm-greedy-algo-7/","Dijkstra algo")</f>
        <v>Dijkstra algo</v>
      </c>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spans="1:26" ht="14.4">
      <c r="A243" s="117" t="s">
        <v>1343</v>
      </c>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spans="1:26" ht="13.8">
      <c r="A244" s="120" t="str">
        <f>HYPERLINK("https://www.codechef.com/problems/REVERSE","chef and reversing")</f>
        <v>chef and reversing</v>
      </c>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spans="1:26" ht="14.4">
      <c r="A245" s="119" t="s">
        <v>1342</v>
      </c>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spans="1:26" ht="14.4">
      <c r="A246" s="119" t="str">
        <f>HYPERLINK("https://practice.geeksforgeeks.org/problems/depth-first-traversal-for-a-graph/1","DFS")</f>
        <v>DFS</v>
      </c>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spans="1:26" ht="13.2">
      <c r="A247" s="139" t="str">
        <f>HYPERLINK("https://leetcode.com/problems/evaluate-division/","evaluate division")</f>
        <v>evaluate division</v>
      </c>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spans="1:26" ht="14.4">
      <c r="A248" s="119" t="s">
        <v>1341</v>
      </c>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spans="1:26" ht="14.4">
      <c r="A249" s="119" t="s">
        <v>1340</v>
      </c>
      <c r="B249" s="100"/>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spans="1:26" ht="14.4">
      <c r="A250" s="119" t="s">
        <v>1339</v>
      </c>
      <c r="B250" s="100"/>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spans="1:26" ht="14.4">
      <c r="A251" s="119" t="str">
        <f>HYPERLINK("https://leetcode.com/problems/01-matrix/","0-1 matrix")</f>
        <v>0-1 matrix</v>
      </c>
      <c r="B251" s="100"/>
      <c r="C251" s="100"/>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spans="1:26" ht="14.4">
      <c r="A252" s="119" t="s">
        <v>1338</v>
      </c>
      <c r="B252" s="100"/>
      <c r="C252" s="100"/>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spans="1:26" ht="14.4">
      <c r="A253" s="119" t="s">
        <v>1337</v>
      </c>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spans="1:26" ht="14.4">
      <c r="A254" s="124" t="s">
        <v>1336</v>
      </c>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spans="1:26" ht="14.4">
      <c r="A255" s="119" t="s">
        <v>1335</v>
      </c>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spans="1:26" ht="13.8">
      <c r="A256" s="120" t="str">
        <f>HYPERLINK("https://leetcode.com/problems/shortest-bridge/","Shortest bridge")</f>
        <v>Shortest bridge</v>
      </c>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spans="1:26" ht="14.4">
      <c r="A257" s="122" t="s">
        <v>1334</v>
      </c>
      <c r="B257" s="104"/>
      <c r="C257" s="93"/>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spans="1:26" ht="14.4">
      <c r="A258" s="119" t="s">
        <v>1333</v>
      </c>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spans="1:26" ht="13.8">
      <c r="A259" s="120" t="str">
        <f>HYPERLINK("https://www.geeksforgeeks.org/bellman-ford-algorithm-dp-23/","bellman ford")</f>
        <v>bellman ford</v>
      </c>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spans="1:26" ht="14.4">
      <c r="A260" s="117" t="s">
        <v>1332</v>
      </c>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spans="1:26" ht="14.4">
      <c r="A261" s="119" t="s">
        <v>1331</v>
      </c>
      <c r="B261" s="100"/>
      <c r="C261" s="100"/>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spans="1:26" ht="14.4">
      <c r="A262" s="119" t="s">
        <v>1330</v>
      </c>
      <c r="B262" s="100"/>
      <c r="C262" s="100"/>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spans="1:26" ht="13.8">
      <c r="A263" s="140" t="str">
        <f>HYPERLINK("https://www.geeksforgeeks.org/topological-sorting/","topological sorting")</f>
        <v>topological sorting</v>
      </c>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spans="1:26" ht="13.8">
      <c r="A264" s="140" t="str">
        <f>HYPERLINK("https://www.geeksforgeeks.org/topological-sorting-indegree-based-solution/","Kahn's algo")</f>
        <v>Kahn's algo</v>
      </c>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spans="1:26" ht="13.8">
      <c r="A265" s="120" t="str">
        <f>HYPERLINK("https://leetcode.com/problems/course-schedule-ii/","course schedule 2")</f>
        <v>course schedule 2</v>
      </c>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spans="1:26" ht="14.4">
      <c r="A266" s="119" t="str">
        <f>HYPERLINK("https://www.geeksforgeeks.org/articulation-points-or-cut-vertices-in-a-graph/","Articulation point")</f>
        <v>Articulation point</v>
      </c>
      <c r="B266" s="100"/>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spans="1:26" ht="14.4">
      <c r="A267" s="121" t="s">
        <v>1329</v>
      </c>
      <c r="B267" s="99"/>
      <c r="C267" s="9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spans="1:26" ht="14.4">
      <c r="A268" s="121" t="s">
        <v>1328</v>
      </c>
      <c r="B268" s="100"/>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spans="1:26" ht="14.4">
      <c r="A269" s="119" t="s">
        <v>1327</v>
      </c>
      <c r="B269" s="100"/>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spans="1:26" ht="14.4">
      <c r="A270" s="124" t="s">
        <v>1326</v>
      </c>
      <c r="B270" s="99"/>
      <c r="C270" s="9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spans="1:26" ht="13.2">
      <c r="A271" s="108" t="s">
        <v>1325</v>
      </c>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spans="1:26" ht="14.4">
      <c r="A272" s="119" t="s">
        <v>1324</v>
      </c>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spans="1:26" ht="14.4">
      <c r="A273" s="119" t="s">
        <v>1323</v>
      </c>
      <c r="B273" s="100"/>
      <c r="C273" s="100"/>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spans="1:26" ht="14.4">
      <c r="A274" s="121" t="s">
        <v>1322</v>
      </c>
      <c r="B274" s="100"/>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spans="1:26" ht="14.4">
      <c r="A275" s="121" t="s">
        <v>1321</v>
      </c>
      <c r="B275" s="100"/>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spans="1:26" ht="14.4">
      <c r="A276" s="121" t="s">
        <v>1320</v>
      </c>
      <c r="B276" s="100"/>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spans="1:26" ht="14.4">
      <c r="A277" s="121" t="s">
        <v>1319</v>
      </c>
      <c r="B277" s="100"/>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spans="1:26" ht="14.4">
      <c r="A278" s="119" t="str">
        <f>HYPERLINK("https://leetcode.com/problems/redundant-connection-ii/","Redundant connection 2")</f>
        <v>Redundant connection 2</v>
      </c>
      <c r="B278" s="100"/>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spans="1:26" ht="14.4">
      <c r="A279" s="117" t="s">
        <v>1318</v>
      </c>
      <c r="B279" s="100"/>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spans="1:26" ht="14.4">
      <c r="A280" s="119" t="s">
        <v>1317</v>
      </c>
      <c r="B280" s="100"/>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spans="1:26" ht="14.4">
      <c r="A281" s="119" t="s">
        <v>1316</v>
      </c>
      <c r="B281" s="100"/>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spans="1:26" ht="14.4">
      <c r="A282" s="121" t="str">
        <f>HYPERLINK("https://www.geeksforgeeks.org/kruskals-minimum-spanning-tree-algorithm-greedy-algo-2/","Kruskal's algo")</f>
        <v>Kruskal's algo</v>
      </c>
      <c r="B282" s="100"/>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spans="1:26" ht="14.4">
      <c r="A283" s="121" t="s">
        <v>1315</v>
      </c>
      <c r="B283" s="100"/>
      <c r="C283" s="100"/>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spans="1:26" ht="14.4">
      <c r="A284" s="119" t="s">
        <v>1314</v>
      </c>
      <c r="B284" s="100"/>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spans="1:26" ht="14.4">
      <c r="A285" s="119" t="str">
        <f>HYPERLINK("https://leetcode.com/problems/sort-items-by-groups-respecting-dependencies/","Sort item by group accord to dependencies")</f>
        <v>Sort item by group accord to dependencies</v>
      </c>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spans="1:26" ht="14.4">
      <c r="A286" s="117" t="s">
        <v>1313</v>
      </c>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spans="1:26" ht="14.4">
      <c r="A287" s="119" t="s">
        <v>1312</v>
      </c>
      <c r="B287" s="100"/>
      <c r="C287" s="100"/>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spans="1:26" ht="14.4">
      <c r="A288" s="141" t="s">
        <v>1311</v>
      </c>
      <c r="B288" s="100"/>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spans="1:26" ht="14.4">
      <c r="A289" s="141" t="s">
        <v>1310</v>
      </c>
      <c r="B289" s="100"/>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spans="1:26" ht="13.8">
      <c r="A290" s="120" t="str">
        <f>HYPERLINK("https://www.geeksforgeeks.org/minimum-number-swaps-required-sort-array/","Min swaps required to sort array")</f>
        <v>Min swaps required to sort array</v>
      </c>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spans="1:26" ht="14.4">
      <c r="A291" s="117" t="s">
        <v>1309</v>
      </c>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spans="1:26" ht="13.8">
      <c r="A292" s="120" t="s">
        <v>1308</v>
      </c>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spans="1:26" ht="14.4">
      <c r="A293" s="119" t="s">
        <v>1307</v>
      </c>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spans="1:26" ht="14.4">
      <c r="A294" s="119" t="s">
        <v>1306</v>
      </c>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spans="1:26" ht="14.4">
      <c r="A295" s="119" t="s">
        <v>1305</v>
      </c>
      <c r="B295" s="101"/>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spans="1:26" ht="14.4">
      <c r="A296" s="119" t="s">
        <v>1304</v>
      </c>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spans="1:26" ht="14.4">
      <c r="A297" s="119" t="s">
        <v>1303</v>
      </c>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spans="1:26" ht="14.4">
      <c r="A298" s="119" t="s">
        <v>1302</v>
      </c>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spans="1:26" ht="14.4">
      <c r="A299" s="124" t="s">
        <v>1301</v>
      </c>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spans="1:26" ht="14.4">
      <c r="A300" s="119" t="s">
        <v>1300</v>
      </c>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spans="1:26" ht="14.4">
      <c r="A301" s="119" t="s">
        <v>1299</v>
      </c>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spans="1:26" ht="14.4">
      <c r="A302" s="119" t="s">
        <v>1298</v>
      </c>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spans="1:26" ht="14.4">
      <c r="A303" s="119" t="s">
        <v>1297</v>
      </c>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spans="1:26" ht="14.4">
      <c r="A304" s="119" t="s">
        <v>1296</v>
      </c>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spans="1:26" ht="14.4">
      <c r="A305" s="119" t="s">
        <v>1295</v>
      </c>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spans="1:26" ht="14.4">
      <c r="A306" s="122" t="s">
        <v>1294</v>
      </c>
      <c r="B306" s="104"/>
      <c r="C306" s="93"/>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spans="1:26" ht="14.4">
      <c r="A307" s="122" t="s">
        <v>1293</v>
      </c>
      <c r="B307" s="93"/>
      <c r="C307" s="93"/>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spans="1:26" ht="18">
      <c r="A308" s="116" t="s">
        <v>1292</v>
      </c>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spans="1:26" ht="14.4">
      <c r="A309" s="117" t="s">
        <v>1291</v>
      </c>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spans="1:26" ht="14.4">
      <c r="A310" s="119" t="str">
        <f>HYPERLINK("https://leetcode.com/problems/subarray-sum-equals-k/","number of subarrays sum exactly k")</f>
        <v>number of subarrays sum exactly k</v>
      </c>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spans="1:26" ht="14.4">
      <c r="A311" s="119" t="str">
        <f>HYPERLINK("https://www.geeksforgeeks.org/count-sub-arrays-sum-divisible-k/","Subarray sum Divisible by k")</f>
        <v>Subarray sum Divisible by k</v>
      </c>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spans="1:26" ht="14.4">
      <c r="A312" s="119" t="s">
        <v>1290</v>
      </c>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spans="1:26" ht="14.4">
      <c r="A313" s="119" t="str">
        <f>HYPERLINK("https://www.geeksforgeeks.org/count-subarrays-equal-number-1s-0s/","subarray with equal number of 0 and 1")</f>
        <v>subarray with equal number of 0 and 1</v>
      </c>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spans="1:26" ht="14.4">
      <c r="A314" s="119" t="str">
        <f>HYPERLINK("https://www.geeksforgeeks.org/substring-equal-number-0-1-2/","Substring with equal 0 1 and 2")</f>
        <v>Substring with equal 0 1 and 2</v>
      </c>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spans="1:26" ht="14.4">
      <c r="A315" s="119" t="str">
        <f>HYPERLINK("https://leetcode.com/problems/k-closest-points-to-origin/","K closest point from origin")</f>
        <v>K closest point from origin</v>
      </c>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spans="1:26" ht="14.4">
      <c r="A316" s="119" t="str">
        <f>HYPERLINK("https://www.geeksforgeeks.org/maximum-consecutive-ones-or-zeros-in-a-binary-array/","Longest consecutive 1's")</f>
        <v>Longest consecutive 1's</v>
      </c>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spans="1:26" ht="14.4">
      <c r="A317" s="121"/>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spans="1:26" ht="14.4">
      <c r="A318" s="142" t="s">
        <v>1289</v>
      </c>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spans="1:26" ht="14.4">
      <c r="A319" s="119" t="str">
        <f>HYPERLINK("https://leetcode.com/problems/minimum-number-of-refueling-stops/","Minimum number of refueling spots")</f>
        <v>Minimum number of refueling spots</v>
      </c>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spans="1:26" ht="14.4">
      <c r="A320" s="119" t="s">
        <v>1288</v>
      </c>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spans="1:26" ht="14.4">
      <c r="A321" s="121" t="str">
        <f>HYPERLINK("https://leetcode.com/problems/x-of-a-kind-in-a-deck-of-cards/","X of akind in a deck")</f>
        <v>X of akind in a deck</v>
      </c>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spans="1:26" ht="14.4">
      <c r="A322" s="121" t="str">
        <f>HYPERLINK("https://www.geeksforgeeks.org/check-whether-arithmetic-progression-can-formed-given-array/","Check AP sequence")</f>
        <v>Check AP sequence</v>
      </c>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spans="1:26" ht="14.4">
      <c r="A323" s="11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spans="1:26" ht="14.4">
      <c r="A324" s="117" t="s">
        <v>1287</v>
      </c>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spans="1:26" ht="14.4">
      <c r="A325" s="119" t="str">
        <f>HYPERLINK("https://leetcode.com/problems/array-of-doubled-pairs/","Array of doubled Pair")</f>
        <v>Array of doubled Pair</v>
      </c>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spans="1:26" ht="14.4">
      <c r="A326" s="119" t="str">
        <f>HYPERLINK("https://leetcode.com/problems/rabbits-in-forest/","Rabbits in forest")</f>
        <v>Rabbits in forest</v>
      </c>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spans="1:26" ht="14.4">
      <c r="A327" s="119" t="str">
        <f>HYPERLINK("https://leetcode.com/problems/longest-consecutive-sequence/","Longest consecutive sequence")</f>
        <v>Longest consecutive sequence</v>
      </c>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spans="1:26" ht="14.4">
      <c r="A328" s="119" t="s">
        <v>1286</v>
      </c>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spans="1:26" ht="14.4">
      <c r="A329" s="119" t="str">
        <f>HYPERLINK("https://practice.geeksforgeeks.org/problems/morning-assembly/0","Morning Assembly")</f>
        <v>Morning Assembly</v>
      </c>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spans="1:26" ht="14.4">
      <c r="A330" s="119" t="str">
        <f>HYPERLINK("https://leetcode.com/problems/brick-wall/","Brick wall")</f>
        <v>Brick wall</v>
      </c>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spans="1:26" ht="14.4">
      <c r="A331" s="117" t="s">
        <v>1285</v>
      </c>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spans="1:26" ht="14.4">
      <c r="A332" s="119" t="str">
        <f>HYPERLINK("https://leetcode.com/problems/grid-illumination/","Grid illumination")</f>
        <v>Grid illumination</v>
      </c>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spans="1:26" ht="14.4">
      <c r="A333" s="119" t="str">
        <f>HYPERLINK("https://leetcode.com/problems/island-perimeter/","Island perimeter")</f>
        <v>Island perimeter</v>
      </c>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spans="1:26" ht="14.4">
      <c r="A334" s="119" t="str">
        <f>HYPERLINK("https://leetcode.com/problems/bulb-switcher/","bulb switcher")</f>
        <v>bulb switcher</v>
      </c>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spans="1:26" ht="14.4">
      <c r="A335" s="119" t="str">
        <f>HYPERLINK("https://leetcode.com/problems/isomorphic-strings/","Isomorphic string")</f>
        <v>Isomorphic string</v>
      </c>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spans="1:26" ht="14.4">
      <c r="A336" s="119" t="str">
        <f>HYPERLINK("https://practice.geeksforgeeks.org/problems/pairs-of-non-coinciding-points/0","Pairs of coinciding points")</f>
        <v>Pairs of coinciding points</v>
      </c>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spans="1:26" ht="13.2">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spans="1:26" ht="14.4">
      <c r="A338" s="117" t="s">
        <v>1284</v>
      </c>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spans="1:26" ht="14.4">
      <c r="A339" s="119" t="str">
        <f>HYPERLINK("https://leetcode.com/problems/trapping-rain-water/","trapping rain water")</f>
        <v>trapping rain water</v>
      </c>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spans="1:26" ht="14.4">
      <c r="A340" s="119" t="s">
        <v>1283</v>
      </c>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spans="1:26" ht="14.4">
      <c r="A341" s="119" t="str">
        <f>HYPERLINK("https://www.geeksforgeeks.org/count-pairs-in-array-whose-sum-is-divisible-by-k/","Count Pair whose sum is divisible by k")</f>
        <v>Count Pair whose sum is divisible by k</v>
      </c>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spans="1:26" ht="14.4">
      <c r="A342" s="119" t="str">
        <f>HYPERLINK("https://www.geeksforgeeks.org/length-largest-subarray-contiguous-elements-set-1/","length of largest subarray with continuous element")</f>
        <v>length of largest subarray with continuous element</v>
      </c>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spans="1:26" ht="14.4">
      <c r="A343" s="119" t="str">
        <f>HYPERLINK("https://www.geeksforgeeks.org/length-largest-subarray-contiguous-elements-set-2/","length of largest subarray with cont element 2")</f>
        <v>length of largest subarray with cont element 2</v>
      </c>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spans="1:26" ht="14.4">
      <c r="A344" s="119" t="str">
        <f>HYPERLINK("https://www.geeksforgeeks.org/find-smallest-number-whose-digits-multiply-given-number-n/","smallest number whose digit mult to given no.")</f>
        <v>smallest number whose digit mult to given no.</v>
      </c>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spans="1:26" ht="14.4">
      <c r="A345" s="119" t="str">
        <f>HYPERLINK("https://www.geeksforgeeks.org/check-if-frequency-of-all-characters-can-become-same-by-one-removal/","same frequency after one removal")</f>
        <v>same frequency after one removal</v>
      </c>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spans="1:26" ht="14.4">
      <c r="A346" s="119" t="str">
        <f>HYPERLINK("https://leetcode.com/problems/insert-delete-getrandom-o1/","Insert Delete GetRandom O(1)")</f>
        <v>Insert Delete GetRandom O(1)</v>
      </c>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spans="1:26" ht="14.4">
      <c r="A347" s="11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spans="1:26" ht="14.4">
      <c r="A348" s="117" t="s">
        <v>1282</v>
      </c>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spans="1:26" ht="14.4">
      <c r="A349" s="119" t="str">
        <f>HYPERLINK("https://leetcode.com/problems/insert-delete-getrandom-o1-duplicates-allowed/","Insert delete get random duplicates allowed")</f>
        <v>Insert delete get random duplicates allowed</v>
      </c>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spans="1:26" ht="14.4">
      <c r="A350" s="119" t="str">
        <f>HYPERLINK("https://leetcode.com/problems/find-all-anagrams-in-a-string/","Find all anagrams in a string")</f>
        <v>Find all anagrams in a string</v>
      </c>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spans="1:26" ht="14.4">
      <c r="A351" s="119" t="str">
        <f>HYPERLINK("https://www.geeksforgeeks.org/check-anagram-string-palindrome-not/","Anagram Pallindrome")</f>
        <v>Anagram Pallindrome</v>
      </c>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spans="1:26" ht="14.4">
      <c r="A352" s="121" t="str">
        <f>HYPERLINK("https://leetcode.com/problems/minimum-window-substring/","Find smallest size of string containing all char of other")</f>
        <v>Find smallest size of string containing all char of other</v>
      </c>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spans="1:26" ht="14.4">
      <c r="A353" s="121" t="str">
        <f>HYPERLINK("https://leetcode.com/problems/group-anagrams/","Group anagram")</f>
        <v>Group anagram</v>
      </c>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spans="1:26" ht="14.4">
      <c r="A354" s="121" t="str">
        <f>HYPERLINK("https://www.geeksforgeeks.org/length-of-the-longest-substring-without-repeating-characters/","longest substring with unique character")</f>
        <v>longest substring with unique character</v>
      </c>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spans="1:26" ht="14.4">
      <c r="A355" s="119" t="str">
        <f>HYPERLINK("https://www.geeksforgeeks.org/smallest-subarray-with-all-occurrences-of-a-most-frequent-element/","smallest subarray with all the occurence of MFE")</f>
        <v>smallest subarray with all the occurence of MFE</v>
      </c>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spans="1:26" ht="14.4">
      <c r="A356" s="119" t="s">
        <v>1281</v>
      </c>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spans="1:26" ht="14.4">
      <c r="A357" s="119" t="str">
        <f>HYPERLINK("https://www.geeksforgeeks.org/check-two-strings-k-anagrams-not/","K anagram")</f>
        <v>K anagram</v>
      </c>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spans="1:26" ht="14.4">
      <c r="A358" s="11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spans="1:26" ht="14.4">
      <c r="A359" s="117" t="s">
        <v>1280</v>
      </c>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spans="1:26" ht="14.4">
      <c r="A360" s="143" t="str">
        <f>HYPERLINK("https://www.geeksforgeeks.org/rearrange-characters-string-no-two-adjacent/","rearrange character string such that no two are same")</f>
        <v>rearrange character string such that no two are same</v>
      </c>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spans="1:26" ht="14.4">
      <c r="A361" s="119" t="s">
        <v>1279</v>
      </c>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spans="1:26" ht="14.4">
      <c r="A362" s="119" t="s">
        <v>1278</v>
      </c>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spans="1:26" ht="14.4">
      <c r="A363" s="119" t="str">
        <f>HYPERLINK("https://leetcode.com/problems/kth-smallest-element-in-a-sorted-matrix/","Kth smallest element in sorted 2d matrix")</f>
        <v>Kth smallest element in sorted 2d matrix</v>
      </c>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spans="1:26" ht="14.4">
      <c r="A364" s="119" t="str">
        <f>HYPERLINK("https://leetcode.com/problems/k-th-smallest-prime-fraction/","Kth smallest prime fraction")</f>
        <v>Kth smallest prime fraction</v>
      </c>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spans="1:26" ht="14.4">
      <c r="A365" s="119" t="str">
        <f>HYPERLINK("https://leetcode.com/problems/employee-free-time/","Employee Free time")</f>
        <v>Employee Free time</v>
      </c>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spans="1:26" ht="13.2">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spans="1:26" ht="18">
      <c r="A367" s="135" t="s">
        <v>1277</v>
      </c>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spans="1:26" ht="14.4">
      <c r="A368" s="117" t="s">
        <v>1276</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spans="1:26" ht="14.4">
      <c r="A369" s="122" t="s">
        <v>216</v>
      </c>
      <c r="B369" s="103"/>
      <c r="C369" s="93"/>
      <c r="D369" s="93"/>
      <c r="E369" s="93"/>
      <c r="F369" s="93"/>
      <c r="G369" s="93"/>
      <c r="H369" s="93"/>
      <c r="I369" s="93"/>
      <c r="J369" s="89"/>
      <c r="K369" s="89"/>
      <c r="L369" s="89"/>
      <c r="M369" s="89"/>
      <c r="N369" s="89"/>
      <c r="O369" s="89"/>
      <c r="P369" s="89"/>
      <c r="Q369" s="89"/>
      <c r="R369" s="89"/>
      <c r="S369" s="89"/>
      <c r="T369" s="89"/>
      <c r="U369" s="89"/>
      <c r="V369" s="89"/>
      <c r="W369" s="89"/>
      <c r="X369" s="89"/>
      <c r="Y369" s="89"/>
      <c r="Z369" s="89"/>
    </row>
    <row r="370" spans="1:26" ht="14.4">
      <c r="A370" s="123" t="s">
        <v>217</v>
      </c>
      <c r="B370" s="103"/>
      <c r="C370" s="93"/>
      <c r="D370" s="93"/>
      <c r="E370" s="93"/>
      <c r="F370" s="93"/>
      <c r="G370" s="93"/>
      <c r="H370" s="93"/>
      <c r="I370" s="93"/>
      <c r="J370" s="89"/>
      <c r="K370" s="89"/>
      <c r="L370" s="89"/>
      <c r="M370" s="89"/>
      <c r="N370" s="89"/>
      <c r="O370" s="89"/>
      <c r="P370" s="89"/>
      <c r="Q370" s="89"/>
      <c r="R370" s="89"/>
      <c r="S370" s="89"/>
      <c r="T370" s="89"/>
      <c r="U370" s="89"/>
      <c r="V370" s="89"/>
      <c r="W370" s="89"/>
      <c r="X370" s="89"/>
      <c r="Y370" s="89"/>
      <c r="Z370" s="89"/>
    </row>
    <row r="371" spans="1:26" ht="14.4">
      <c r="A371" s="123" t="s">
        <v>218</v>
      </c>
      <c r="B371" s="103"/>
      <c r="C371" s="93"/>
      <c r="D371" s="93"/>
      <c r="E371" s="93"/>
      <c r="F371" s="93"/>
      <c r="G371" s="93"/>
      <c r="H371" s="93"/>
      <c r="I371" s="93"/>
      <c r="J371" s="89"/>
      <c r="K371" s="89"/>
      <c r="L371" s="89"/>
      <c r="M371" s="89"/>
      <c r="N371" s="89"/>
      <c r="O371" s="89"/>
      <c r="P371" s="89"/>
      <c r="Q371" s="89"/>
      <c r="R371" s="89"/>
      <c r="S371" s="89"/>
      <c r="T371" s="89"/>
      <c r="U371" s="89"/>
      <c r="V371" s="89"/>
      <c r="W371" s="89"/>
      <c r="X371" s="89"/>
      <c r="Y371" s="89"/>
      <c r="Z371" s="89"/>
    </row>
    <row r="372" spans="1:26" ht="14.4">
      <c r="A372" s="122" t="s">
        <v>219</v>
      </c>
      <c r="B372" s="103"/>
      <c r="C372" s="93"/>
      <c r="D372" s="93"/>
      <c r="E372" s="93"/>
      <c r="F372" s="93"/>
      <c r="G372" s="93"/>
      <c r="H372" s="93"/>
      <c r="I372" s="93"/>
      <c r="J372" s="89"/>
      <c r="K372" s="89"/>
      <c r="L372" s="89"/>
      <c r="M372" s="89"/>
      <c r="N372" s="89"/>
      <c r="O372" s="89"/>
      <c r="P372" s="89"/>
      <c r="Q372" s="89"/>
      <c r="R372" s="89"/>
      <c r="S372" s="89"/>
      <c r="T372" s="89"/>
      <c r="U372" s="89"/>
      <c r="V372" s="89"/>
      <c r="W372" s="89"/>
      <c r="X372" s="89"/>
      <c r="Y372" s="89"/>
      <c r="Z372" s="89"/>
    </row>
    <row r="373" spans="1:26" ht="14.4">
      <c r="A373" s="122" t="s">
        <v>220</v>
      </c>
      <c r="B373" s="103"/>
      <c r="C373" s="93"/>
      <c r="D373" s="93"/>
      <c r="E373" s="93"/>
      <c r="F373" s="93"/>
      <c r="G373" s="93"/>
      <c r="H373" s="93"/>
      <c r="I373" s="93"/>
      <c r="J373" s="89"/>
      <c r="K373" s="89"/>
      <c r="L373" s="89"/>
      <c r="M373" s="89"/>
      <c r="N373" s="89"/>
      <c r="O373" s="89"/>
      <c r="P373" s="89"/>
      <c r="Q373" s="89"/>
      <c r="R373" s="89"/>
      <c r="S373" s="89"/>
      <c r="T373" s="89"/>
      <c r="U373" s="89"/>
      <c r="V373" s="89"/>
      <c r="W373" s="89"/>
      <c r="X373" s="89"/>
      <c r="Y373" s="89"/>
      <c r="Z373" s="89"/>
    </row>
    <row r="374" spans="1:26" ht="14.4">
      <c r="A374" s="122" t="s">
        <v>221</v>
      </c>
      <c r="B374" s="103"/>
      <c r="C374" s="93"/>
      <c r="D374" s="93"/>
      <c r="E374" s="93"/>
      <c r="F374" s="93"/>
      <c r="G374" s="93"/>
      <c r="H374" s="93"/>
      <c r="I374" s="93"/>
      <c r="J374" s="89"/>
      <c r="K374" s="89"/>
      <c r="L374" s="89"/>
      <c r="M374" s="89"/>
      <c r="N374" s="89"/>
      <c r="O374" s="89"/>
      <c r="P374" s="89"/>
      <c r="Q374" s="89"/>
      <c r="R374" s="89"/>
      <c r="S374" s="89"/>
      <c r="T374" s="89"/>
      <c r="U374" s="89"/>
      <c r="V374" s="89"/>
      <c r="W374" s="89"/>
      <c r="X374" s="89"/>
      <c r="Y374" s="89"/>
      <c r="Z374" s="89"/>
    </row>
    <row r="375" spans="1:26" ht="14.4">
      <c r="A375" s="122" t="s">
        <v>222</v>
      </c>
      <c r="B375" s="103"/>
      <c r="C375" s="93"/>
      <c r="D375" s="93"/>
      <c r="E375" s="93"/>
      <c r="F375" s="93"/>
      <c r="G375" s="93"/>
      <c r="H375" s="93"/>
      <c r="I375" s="93"/>
      <c r="J375" s="89"/>
      <c r="K375" s="89"/>
      <c r="L375" s="89"/>
      <c r="M375" s="89"/>
      <c r="N375" s="89"/>
      <c r="O375" s="89"/>
      <c r="P375" s="89"/>
      <c r="Q375" s="89"/>
      <c r="R375" s="89"/>
      <c r="S375" s="89"/>
      <c r="T375" s="89"/>
      <c r="U375" s="89"/>
      <c r="V375" s="89"/>
      <c r="W375" s="89"/>
      <c r="X375" s="89"/>
      <c r="Y375" s="89"/>
      <c r="Z375" s="89"/>
    </row>
    <row r="376" spans="1:26" ht="14.4">
      <c r="A376" s="122" t="s">
        <v>223</v>
      </c>
      <c r="B376" s="103"/>
      <c r="C376" s="93"/>
      <c r="D376" s="93"/>
      <c r="E376" s="93"/>
      <c r="F376" s="93"/>
      <c r="G376" s="93"/>
      <c r="H376" s="93"/>
      <c r="I376" s="93"/>
      <c r="J376" s="89"/>
      <c r="K376" s="89"/>
      <c r="L376" s="89"/>
      <c r="M376" s="89"/>
      <c r="N376" s="89"/>
      <c r="O376" s="89"/>
      <c r="P376" s="89"/>
      <c r="Q376" s="89"/>
      <c r="R376" s="89"/>
      <c r="S376" s="89"/>
      <c r="T376" s="89"/>
      <c r="U376" s="89"/>
      <c r="V376" s="89"/>
      <c r="W376" s="89"/>
      <c r="X376" s="89"/>
      <c r="Y376" s="89"/>
      <c r="Z376" s="89"/>
    </row>
    <row r="377" spans="1:26" ht="14.4">
      <c r="A377" s="124" t="s">
        <v>1275</v>
      </c>
      <c r="B377" s="103"/>
      <c r="C377" s="93"/>
      <c r="D377" s="93"/>
      <c r="E377" s="93"/>
      <c r="F377" s="93"/>
      <c r="G377" s="93"/>
      <c r="H377" s="93"/>
      <c r="I377" s="93"/>
      <c r="J377" s="89"/>
      <c r="K377" s="89"/>
      <c r="L377" s="89"/>
      <c r="M377" s="89"/>
      <c r="N377" s="89"/>
      <c r="O377" s="89"/>
      <c r="P377" s="89"/>
      <c r="Q377" s="89"/>
      <c r="R377" s="89"/>
      <c r="S377" s="89"/>
      <c r="T377" s="89"/>
      <c r="U377" s="89"/>
      <c r="V377" s="89"/>
      <c r="W377" s="89"/>
      <c r="X377" s="89"/>
      <c r="Y377" s="89"/>
      <c r="Z377" s="89"/>
    </row>
    <row r="378" spans="1:26" ht="14.4">
      <c r="A378" s="122" t="s">
        <v>224</v>
      </c>
      <c r="B378" s="103"/>
      <c r="C378" s="93"/>
      <c r="D378" s="93"/>
      <c r="E378" s="93"/>
      <c r="F378" s="93"/>
      <c r="G378" s="93"/>
      <c r="H378" s="93"/>
      <c r="I378" s="93"/>
      <c r="J378" s="89"/>
      <c r="K378" s="89"/>
      <c r="L378" s="89"/>
      <c r="M378" s="89"/>
      <c r="N378" s="89"/>
      <c r="O378" s="89"/>
      <c r="P378" s="89"/>
      <c r="Q378" s="89"/>
      <c r="R378" s="89"/>
      <c r="S378" s="89"/>
      <c r="T378" s="89"/>
      <c r="U378" s="89"/>
      <c r="V378" s="89"/>
      <c r="W378" s="89"/>
      <c r="X378" s="89"/>
      <c r="Y378" s="89"/>
      <c r="Z378" s="89"/>
    </row>
    <row r="379" spans="1:26" ht="14.4">
      <c r="A379" s="122" t="s">
        <v>225</v>
      </c>
      <c r="B379" s="103"/>
      <c r="C379" s="93"/>
      <c r="D379" s="93"/>
      <c r="E379" s="93"/>
      <c r="F379" s="93"/>
      <c r="G379" s="93"/>
      <c r="H379" s="93"/>
      <c r="I379" s="93"/>
      <c r="J379" s="89"/>
      <c r="K379" s="89"/>
      <c r="L379" s="89"/>
      <c r="M379" s="89"/>
      <c r="N379" s="89"/>
      <c r="O379" s="89"/>
      <c r="P379" s="89"/>
      <c r="Q379" s="89"/>
      <c r="R379" s="89"/>
      <c r="S379" s="89"/>
      <c r="T379" s="89"/>
      <c r="U379" s="89"/>
      <c r="V379" s="89"/>
      <c r="W379" s="89"/>
      <c r="X379" s="89"/>
      <c r="Y379" s="89"/>
      <c r="Z379" s="89"/>
    </row>
    <row r="380" spans="1:26" ht="14.4">
      <c r="A380" s="144" t="s">
        <v>226</v>
      </c>
      <c r="B380" s="103"/>
      <c r="C380" s="93"/>
      <c r="D380" s="93"/>
      <c r="E380" s="93"/>
      <c r="F380" s="93"/>
      <c r="G380" s="93"/>
      <c r="H380" s="93"/>
      <c r="I380" s="93"/>
      <c r="J380" s="89"/>
      <c r="K380" s="89"/>
      <c r="L380" s="89"/>
      <c r="M380" s="89"/>
      <c r="N380" s="89"/>
      <c r="O380" s="89"/>
      <c r="P380" s="89"/>
      <c r="Q380" s="89"/>
      <c r="R380" s="89"/>
      <c r="S380" s="89"/>
      <c r="T380" s="89"/>
      <c r="U380" s="89"/>
      <c r="V380" s="89"/>
      <c r="W380" s="89"/>
      <c r="X380" s="89"/>
      <c r="Y380" s="89"/>
      <c r="Z380" s="89"/>
    </row>
    <row r="381" spans="1:26" ht="14.4">
      <c r="A381" s="122" t="s">
        <v>227</v>
      </c>
      <c r="B381" s="103"/>
      <c r="C381" s="93"/>
      <c r="D381" s="93"/>
      <c r="E381" s="93"/>
      <c r="F381" s="93"/>
      <c r="G381" s="93"/>
      <c r="H381" s="93"/>
      <c r="I381" s="93"/>
      <c r="J381" s="89"/>
      <c r="K381" s="89"/>
      <c r="L381" s="89"/>
      <c r="M381" s="89"/>
      <c r="N381" s="89"/>
      <c r="O381" s="89"/>
      <c r="P381" s="89"/>
      <c r="Q381" s="89"/>
      <c r="R381" s="89"/>
      <c r="S381" s="89"/>
      <c r="T381" s="89"/>
      <c r="U381" s="89"/>
      <c r="V381" s="89"/>
      <c r="W381" s="89"/>
      <c r="X381" s="89"/>
      <c r="Y381" s="89"/>
      <c r="Z381" s="89"/>
    </row>
    <row r="382" spans="1:26" ht="14.4">
      <c r="A382" s="122" t="s">
        <v>228</v>
      </c>
      <c r="B382" s="103"/>
      <c r="C382" s="93"/>
      <c r="D382" s="93"/>
      <c r="E382" s="93"/>
      <c r="F382" s="93"/>
      <c r="G382" s="93"/>
      <c r="H382" s="93"/>
      <c r="I382" s="93"/>
      <c r="J382" s="89"/>
      <c r="K382" s="89"/>
      <c r="L382" s="89"/>
      <c r="M382" s="89"/>
      <c r="N382" s="89"/>
      <c r="O382" s="89"/>
      <c r="P382" s="89"/>
      <c r="Q382" s="89"/>
      <c r="R382" s="89"/>
      <c r="S382" s="89"/>
      <c r="T382" s="89"/>
      <c r="U382" s="89"/>
      <c r="V382" s="89"/>
      <c r="W382" s="89"/>
      <c r="X382" s="89"/>
      <c r="Y382" s="89"/>
      <c r="Z382" s="89"/>
    </row>
    <row r="383" spans="1:26" ht="14.4">
      <c r="A383" s="122" t="s">
        <v>229</v>
      </c>
      <c r="B383" s="103"/>
      <c r="C383" s="93"/>
      <c r="D383" s="93"/>
      <c r="E383" s="93"/>
      <c r="F383" s="93"/>
      <c r="G383" s="93"/>
      <c r="H383" s="93"/>
      <c r="I383" s="93"/>
      <c r="J383" s="89"/>
      <c r="K383" s="89"/>
      <c r="L383" s="89"/>
      <c r="M383" s="89"/>
      <c r="N383" s="89"/>
      <c r="O383" s="89"/>
      <c r="P383" s="89"/>
      <c r="Q383" s="89"/>
      <c r="R383" s="89"/>
      <c r="S383" s="89"/>
      <c r="T383" s="89"/>
      <c r="U383" s="89"/>
      <c r="V383" s="89"/>
      <c r="W383" s="89"/>
      <c r="X383" s="89"/>
      <c r="Y383" s="89"/>
      <c r="Z383" s="89"/>
    </row>
    <row r="384" spans="1:26" ht="14.4">
      <c r="A384" s="122" t="s">
        <v>230</v>
      </c>
      <c r="B384" s="103"/>
      <c r="C384" s="93"/>
      <c r="D384" s="93"/>
      <c r="E384" s="93"/>
      <c r="F384" s="93"/>
      <c r="G384" s="93"/>
      <c r="H384" s="93"/>
      <c r="I384" s="93"/>
      <c r="J384" s="89"/>
      <c r="K384" s="89"/>
      <c r="L384" s="89"/>
      <c r="M384" s="89"/>
      <c r="N384" s="89"/>
      <c r="O384" s="89"/>
      <c r="P384" s="89"/>
      <c r="Q384" s="89"/>
      <c r="R384" s="89"/>
      <c r="S384" s="89"/>
      <c r="T384" s="89"/>
      <c r="U384" s="89"/>
      <c r="V384" s="89"/>
      <c r="W384" s="89"/>
      <c r="X384" s="89"/>
      <c r="Y384" s="89"/>
      <c r="Z384" s="89"/>
    </row>
    <row r="385" spans="1:26" ht="14.4">
      <c r="A385" s="122" t="s">
        <v>231</v>
      </c>
      <c r="B385" s="103"/>
      <c r="C385" s="93"/>
      <c r="D385" s="93"/>
      <c r="E385" s="93"/>
      <c r="F385" s="93"/>
      <c r="G385" s="93"/>
      <c r="H385" s="93"/>
      <c r="I385" s="93"/>
      <c r="J385" s="89"/>
      <c r="K385" s="89"/>
      <c r="L385" s="89"/>
      <c r="M385" s="89"/>
      <c r="N385" s="89"/>
      <c r="O385" s="89"/>
      <c r="P385" s="89"/>
      <c r="Q385" s="89"/>
      <c r="R385" s="89"/>
      <c r="S385" s="89"/>
      <c r="T385" s="89"/>
      <c r="U385" s="89"/>
      <c r="V385" s="89"/>
      <c r="W385" s="89"/>
      <c r="X385" s="89"/>
      <c r="Y385" s="89"/>
      <c r="Z385" s="89"/>
    </row>
    <row r="386" spans="1:26" ht="14.4">
      <c r="A386" s="124" t="s">
        <v>1274</v>
      </c>
      <c r="B386" s="103"/>
      <c r="C386" s="93"/>
      <c r="D386" s="93"/>
      <c r="E386" s="93"/>
      <c r="F386" s="93"/>
      <c r="G386" s="93"/>
      <c r="H386" s="93"/>
      <c r="I386" s="93"/>
      <c r="J386" s="89"/>
      <c r="K386" s="89"/>
      <c r="L386" s="89"/>
      <c r="M386" s="89"/>
      <c r="N386" s="89"/>
      <c r="O386" s="89"/>
      <c r="P386" s="89"/>
      <c r="Q386" s="89"/>
      <c r="R386" s="89"/>
      <c r="S386" s="89"/>
      <c r="T386" s="89"/>
      <c r="U386" s="89"/>
      <c r="V386" s="89"/>
      <c r="W386" s="89"/>
      <c r="X386" s="89"/>
      <c r="Y386" s="89"/>
      <c r="Z386" s="89"/>
    </row>
    <row r="387" spans="1:26" ht="14.4">
      <c r="A387" s="122" t="s">
        <v>232</v>
      </c>
      <c r="B387" s="103"/>
      <c r="C387" s="93"/>
      <c r="D387" s="93"/>
      <c r="E387" s="93"/>
      <c r="F387" s="93"/>
      <c r="G387" s="93"/>
      <c r="H387" s="93"/>
      <c r="I387" s="93"/>
      <c r="J387" s="89"/>
      <c r="K387" s="89"/>
      <c r="L387" s="89"/>
      <c r="M387" s="89"/>
      <c r="N387" s="89"/>
      <c r="O387" s="89"/>
      <c r="P387" s="89"/>
      <c r="Q387" s="89"/>
      <c r="R387" s="89"/>
      <c r="S387" s="89"/>
      <c r="T387" s="89"/>
      <c r="U387" s="89"/>
      <c r="V387" s="89"/>
      <c r="W387" s="89"/>
      <c r="X387" s="89"/>
      <c r="Y387" s="89"/>
      <c r="Z387" s="89"/>
    </row>
    <row r="388" spans="1:26" ht="14.4">
      <c r="A388" s="122" t="s">
        <v>233</v>
      </c>
      <c r="B388" s="103"/>
      <c r="C388" s="93"/>
      <c r="D388" s="93"/>
      <c r="E388" s="93"/>
      <c r="F388" s="93"/>
      <c r="G388" s="93"/>
      <c r="H388" s="93"/>
      <c r="I388" s="93"/>
      <c r="J388" s="89"/>
      <c r="K388" s="89"/>
      <c r="L388" s="89"/>
      <c r="M388" s="89"/>
      <c r="N388" s="89"/>
      <c r="O388" s="89"/>
      <c r="P388" s="89"/>
      <c r="Q388" s="89"/>
      <c r="R388" s="89"/>
      <c r="S388" s="89"/>
      <c r="T388" s="89"/>
      <c r="U388" s="89"/>
      <c r="V388" s="89"/>
      <c r="W388" s="89"/>
      <c r="X388" s="89"/>
      <c r="Y388" s="89"/>
      <c r="Z388" s="89"/>
    </row>
    <row r="389" spans="1:26" ht="14.4">
      <c r="A389" s="122" t="s">
        <v>234</v>
      </c>
      <c r="B389" s="103"/>
      <c r="C389" s="93"/>
      <c r="D389" s="93"/>
      <c r="E389" s="93"/>
      <c r="F389" s="93"/>
      <c r="G389" s="93"/>
      <c r="H389" s="93"/>
      <c r="I389" s="93"/>
      <c r="J389" s="89"/>
      <c r="K389" s="89"/>
      <c r="L389" s="89"/>
      <c r="M389" s="89"/>
      <c r="N389" s="89"/>
      <c r="O389" s="89"/>
      <c r="P389" s="89"/>
      <c r="Q389" s="89"/>
      <c r="R389" s="89"/>
      <c r="S389" s="89"/>
      <c r="T389" s="89"/>
      <c r="U389" s="89"/>
      <c r="V389" s="89"/>
      <c r="W389" s="89"/>
      <c r="X389" s="89"/>
      <c r="Y389" s="89"/>
      <c r="Z389" s="89"/>
    </row>
    <row r="390" spans="1:26" ht="14.4">
      <c r="A390" s="122" t="s">
        <v>235</v>
      </c>
      <c r="B390" s="103"/>
      <c r="C390" s="93"/>
      <c r="D390" s="93"/>
      <c r="E390" s="93"/>
      <c r="F390" s="93"/>
      <c r="G390" s="93"/>
      <c r="H390" s="93"/>
      <c r="I390" s="93"/>
      <c r="J390" s="89"/>
      <c r="K390" s="89"/>
      <c r="L390" s="89"/>
      <c r="M390" s="89"/>
      <c r="N390" s="89"/>
      <c r="O390" s="89"/>
      <c r="P390" s="89"/>
      <c r="Q390" s="89"/>
      <c r="R390" s="89"/>
      <c r="S390" s="89"/>
      <c r="T390" s="89"/>
      <c r="U390" s="89"/>
      <c r="V390" s="89"/>
      <c r="W390" s="89"/>
      <c r="X390" s="89"/>
      <c r="Y390" s="89"/>
      <c r="Z390" s="89"/>
    </row>
    <row r="391" spans="1:26" ht="14.4">
      <c r="A391" s="122" t="s">
        <v>236</v>
      </c>
      <c r="B391" s="103"/>
      <c r="C391" s="93"/>
      <c r="D391" s="93"/>
      <c r="E391" s="93"/>
      <c r="F391" s="93"/>
      <c r="G391" s="93"/>
      <c r="H391" s="93"/>
      <c r="I391" s="93"/>
      <c r="J391" s="89"/>
      <c r="K391" s="89"/>
      <c r="L391" s="89"/>
      <c r="M391" s="89"/>
      <c r="N391" s="89"/>
      <c r="O391" s="89"/>
      <c r="P391" s="89"/>
      <c r="Q391" s="89"/>
      <c r="R391" s="89"/>
      <c r="S391" s="89"/>
      <c r="T391" s="89"/>
      <c r="U391" s="89"/>
      <c r="V391" s="89"/>
      <c r="W391" s="89"/>
      <c r="X391" s="89"/>
      <c r="Y391" s="89"/>
      <c r="Z391" s="89"/>
    </row>
    <row r="392" spans="1:26" ht="14.4">
      <c r="A392" s="122" t="s">
        <v>237</v>
      </c>
      <c r="B392" s="103"/>
      <c r="C392" s="93"/>
      <c r="D392" s="93"/>
      <c r="E392" s="93"/>
      <c r="F392" s="93"/>
      <c r="G392" s="93"/>
      <c r="H392" s="93"/>
      <c r="I392" s="93"/>
      <c r="J392" s="89"/>
      <c r="K392" s="89"/>
      <c r="L392" s="89"/>
      <c r="M392" s="89"/>
      <c r="N392" s="89"/>
      <c r="O392" s="89"/>
      <c r="P392" s="89"/>
      <c r="Q392" s="89"/>
      <c r="R392" s="89"/>
      <c r="S392" s="89"/>
      <c r="T392" s="89"/>
      <c r="U392" s="89"/>
      <c r="V392" s="89"/>
      <c r="W392" s="89"/>
      <c r="X392" s="89"/>
      <c r="Y392" s="89"/>
      <c r="Z392" s="89"/>
    </row>
    <row r="393" spans="1:26" ht="14.4">
      <c r="A393" s="122" t="s">
        <v>238</v>
      </c>
      <c r="B393" s="103"/>
      <c r="C393" s="93"/>
      <c r="D393" s="93"/>
      <c r="E393" s="93"/>
      <c r="F393" s="93"/>
      <c r="G393" s="93"/>
      <c r="H393" s="93"/>
      <c r="I393" s="93"/>
      <c r="J393" s="89"/>
      <c r="K393" s="89"/>
      <c r="L393" s="89"/>
      <c r="M393" s="89"/>
      <c r="N393" s="89"/>
      <c r="O393" s="89"/>
      <c r="P393" s="89"/>
      <c r="Q393" s="89"/>
      <c r="R393" s="89"/>
      <c r="S393" s="89"/>
      <c r="T393" s="89"/>
      <c r="U393" s="89"/>
      <c r="V393" s="89"/>
      <c r="W393" s="89"/>
      <c r="X393" s="89"/>
      <c r="Y393" s="89"/>
      <c r="Z393" s="89"/>
    </row>
    <row r="394" spans="1:26" ht="14.4">
      <c r="A394" s="122" t="s">
        <v>239</v>
      </c>
      <c r="B394" s="103"/>
      <c r="C394" s="93"/>
      <c r="D394" s="93"/>
      <c r="E394" s="93"/>
      <c r="F394" s="93"/>
      <c r="G394" s="93"/>
      <c r="H394" s="93"/>
      <c r="I394" s="93"/>
      <c r="J394" s="89"/>
      <c r="K394" s="89"/>
      <c r="L394" s="89"/>
      <c r="M394" s="89"/>
      <c r="N394" s="89"/>
      <c r="O394" s="89"/>
      <c r="P394" s="89"/>
      <c r="Q394" s="89"/>
      <c r="R394" s="89"/>
      <c r="S394" s="89"/>
      <c r="T394" s="89"/>
      <c r="U394" s="89"/>
      <c r="V394" s="89"/>
      <c r="W394" s="89"/>
      <c r="X394" s="89"/>
      <c r="Y394" s="89"/>
      <c r="Z394" s="89"/>
    </row>
    <row r="395" spans="1:26" ht="14.4">
      <c r="A395" s="124" t="s">
        <v>1273</v>
      </c>
      <c r="B395" s="103"/>
      <c r="C395" s="93"/>
      <c r="D395" s="93"/>
      <c r="E395" s="93"/>
      <c r="F395" s="93"/>
      <c r="G395" s="93"/>
      <c r="H395" s="93"/>
      <c r="I395" s="93"/>
      <c r="J395" s="89"/>
      <c r="K395" s="89"/>
      <c r="L395" s="89"/>
      <c r="M395" s="89"/>
      <c r="N395" s="89"/>
      <c r="O395" s="89"/>
      <c r="P395" s="89"/>
      <c r="Q395" s="89"/>
      <c r="R395" s="89"/>
      <c r="S395" s="89"/>
      <c r="T395" s="89"/>
      <c r="U395" s="89"/>
      <c r="V395" s="89"/>
      <c r="W395" s="89"/>
      <c r="X395" s="89"/>
      <c r="Y395" s="89"/>
      <c r="Z395" s="89"/>
    </row>
    <row r="396" spans="1:26" ht="14.4">
      <c r="A396" s="122" t="s">
        <v>240</v>
      </c>
      <c r="B396" s="103"/>
      <c r="C396" s="93"/>
      <c r="D396" s="93"/>
      <c r="E396" s="93"/>
      <c r="F396" s="93"/>
      <c r="G396" s="93"/>
      <c r="H396" s="93"/>
      <c r="I396" s="93"/>
      <c r="J396" s="89"/>
      <c r="K396" s="89"/>
      <c r="L396" s="89"/>
      <c r="M396" s="89"/>
      <c r="N396" s="89"/>
      <c r="O396" s="89"/>
      <c r="P396" s="89"/>
      <c r="Q396" s="89"/>
      <c r="R396" s="89"/>
      <c r="S396" s="89"/>
      <c r="T396" s="89"/>
      <c r="U396" s="89"/>
      <c r="V396" s="89"/>
      <c r="W396" s="89"/>
      <c r="X396" s="89"/>
      <c r="Y396" s="89"/>
      <c r="Z396" s="89"/>
    </row>
    <row r="397" spans="1:26" ht="14.4">
      <c r="A397" s="122" t="s">
        <v>241</v>
      </c>
      <c r="B397" s="103"/>
      <c r="C397" s="93"/>
      <c r="D397" s="93"/>
      <c r="E397" s="93"/>
      <c r="F397" s="93"/>
      <c r="G397" s="93"/>
      <c r="H397" s="93"/>
      <c r="I397" s="93"/>
      <c r="J397" s="89"/>
      <c r="K397" s="89"/>
      <c r="L397" s="89"/>
      <c r="M397" s="89"/>
      <c r="N397" s="89"/>
      <c r="O397" s="89"/>
      <c r="P397" s="89"/>
      <c r="Q397" s="89"/>
      <c r="R397" s="89"/>
      <c r="S397" s="89"/>
      <c r="T397" s="89"/>
      <c r="U397" s="89"/>
      <c r="V397" s="89"/>
      <c r="W397" s="89"/>
      <c r="X397" s="89"/>
      <c r="Y397" s="89"/>
      <c r="Z397" s="89"/>
    </row>
    <row r="398" spans="1:26" ht="14.4">
      <c r="A398" s="122" t="s">
        <v>242</v>
      </c>
      <c r="B398" s="103"/>
      <c r="C398" s="93"/>
      <c r="D398" s="93"/>
      <c r="E398" s="93"/>
      <c r="F398" s="93"/>
      <c r="G398" s="93"/>
      <c r="H398" s="93"/>
      <c r="I398" s="93"/>
      <c r="J398" s="89"/>
      <c r="K398" s="89"/>
      <c r="L398" s="89"/>
      <c r="M398" s="89"/>
      <c r="N398" s="89"/>
      <c r="O398" s="89"/>
      <c r="P398" s="89"/>
      <c r="Q398" s="89"/>
      <c r="R398" s="89"/>
      <c r="S398" s="89"/>
      <c r="T398" s="89"/>
      <c r="U398" s="89"/>
      <c r="V398" s="89"/>
      <c r="W398" s="89"/>
      <c r="X398" s="89"/>
      <c r="Y398" s="89"/>
      <c r="Z398" s="89"/>
    </row>
    <row r="399" spans="1:26" ht="14.4">
      <c r="A399" s="122" t="s">
        <v>243</v>
      </c>
      <c r="B399" s="103"/>
      <c r="C399" s="93"/>
      <c r="D399" s="93"/>
      <c r="E399" s="93"/>
      <c r="F399" s="93"/>
      <c r="G399" s="93"/>
      <c r="H399" s="93"/>
      <c r="I399" s="93"/>
      <c r="J399" s="89"/>
      <c r="K399" s="89"/>
      <c r="L399" s="89"/>
      <c r="M399" s="89"/>
      <c r="N399" s="89"/>
      <c r="O399" s="89"/>
      <c r="P399" s="89"/>
      <c r="Q399" s="89"/>
      <c r="R399" s="89"/>
      <c r="S399" s="89"/>
      <c r="T399" s="89"/>
      <c r="U399" s="89"/>
      <c r="V399" s="89"/>
      <c r="W399" s="89"/>
      <c r="X399" s="89"/>
      <c r="Y399" s="89"/>
      <c r="Z399" s="89"/>
    </row>
    <row r="400" spans="1:26" ht="14.4">
      <c r="A400" s="122" t="s">
        <v>244</v>
      </c>
      <c r="B400" s="103"/>
      <c r="C400" s="93"/>
      <c r="D400" s="93"/>
      <c r="E400" s="93"/>
      <c r="F400" s="93"/>
      <c r="G400" s="93"/>
      <c r="H400" s="93"/>
      <c r="I400" s="93"/>
      <c r="J400" s="89"/>
      <c r="K400" s="89"/>
      <c r="L400" s="89"/>
      <c r="M400" s="89"/>
      <c r="N400" s="89"/>
      <c r="O400" s="89"/>
      <c r="P400" s="89"/>
      <c r="Q400" s="89"/>
      <c r="R400" s="89"/>
      <c r="S400" s="89"/>
      <c r="T400" s="89"/>
      <c r="U400" s="89"/>
      <c r="V400" s="89"/>
      <c r="W400" s="89"/>
      <c r="X400" s="89"/>
      <c r="Y400" s="89"/>
      <c r="Z400" s="89"/>
    </row>
    <row r="401" spans="1:26" ht="14.4">
      <c r="A401" s="122" t="s">
        <v>245</v>
      </c>
      <c r="B401" s="103"/>
      <c r="C401" s="93"/>
      <c r="D401" s="93"/>
      <c r="E401" s="93"/>
      <c r="F401" s="93"/>
      <c r="G401" s="93"/>
      <c r="H401" s="93"/>
      <c r="I401" s="93"/>
      <c r="J401" s="89"/>
      <c r="K401" s="89"/>
      <c r="L401" s="89"/>
      <c r="M401" s="89"/>
      <c r="N401" s="89"/>
      <c r="O401" s="89"/>
      <c r="P401" s="89"/>
      <c r="Q401" s="89"/>
      <c r="R401" s="89"/>
      <c r="S401" s="89"/>
      <c r="T401" s="89"/>
      <c r="U401" s="89"/>
      <c r="V401" s="89"/>
      <c r="W401" s="89"/>
      <c r="X401" s="89"/>
      <c r="Y401" s="89"/>
      <c r="Z401" s="89"/>
    </row>
    <row r="402" spans="1:26" ht="14.4">
      <c r="A402" s="124" t="s">
        <v>1272</v>
      </c>
      <c r="B402" s="103"/>
      <c r="C402" s="93"/>
      <c r="D402" s="93"/>
      <c r="E402" s="93"/>
      <c r="F402" s="93"/>
      <c r="G402" s="93"/>
      <c r="H402" s="93"/>
      <c r="I402" s="93"/>
      <c r="J402" s="89"/>
      <c r="K402" s="89"/>
      <c r="L402" s="89"/>
      <c r="M402" s="89"/>
      <c r="N402" s="89"/>
      <c r="O402" s="89"/>
      <c r="P402" s="89"/>
      <c r="Q402" s="89"/>
      <c r="R402" s="89"/>
      <c r="S402" s="89"/>
      <c r="T402" s="89"/>
      <c r="U402" s="89"/>
      <c r="V402" s="89"/>
      <c r="W402" s="89"/>
      <c r="X402" s="89"/>
      <c r="Y402" s="89"/>
      <c r="Z402" s="89"/>
    </row>
    <row r="403" spans="1:26" ht="14.4">
      <c r="A403" s="122" t="s">
        <v>246</v>
      </c>
      <c r="B403" s="103"/>
      <c r="C403" s="93"/>
      <c r="D403" s="93"/>
      <c r="E403" s="93"/>
      <c r="F403" s="93"/>
      <c r="G403" s="93"/>
      <c r="H403" s="93"/>
      <c r="I403" s="93"/>
      <c r="J403" s="89"/>
      <c r="K403" s="89"/>
      <c r="L403" s="89"/>
      <c r="M403" s="89"/>
      <c r="N403" s="89"/>
      <c r="O403" s="89"/>
      <c r="P403" s="89"/>
      <c r="Q403" s="89"/>
      <c r="R403" s="89"/>
      <c r="S403" s="89"/>
      <c r="T403" s="89"/>
      <c r="U403" s="89"/>
      <c r="V403" s="89"/>
      <c r="W403" s="89"/>
      <c r="X403" s="89"/>
      <c r="Y403" s="89"/>
      <c r="Z403" s="89"/>
    </row>
    <row r="404" spans="1:26" ht="14.4">
      <c r="A404" s="122" t="s">
        <v>247</v>
      </c>
      <c r="B404" s="103"/>
      <c r="C404" s="93"/>
      <c r="D404" s="93"/>
      <c r="E404" s="93"/>
      <c r="F404" s="93"/>
      <c r="G404" s="93"/>
      <c r="H404" s="93"/>
      <c r="I404" s="93"/>
      <c r="J404" s="89"/>
      <c r="K404" s="89"/>
      <c r="L404" s="89"/>
      <c r="M404" s="89"/>
      <c r="N404" s="89"/>
      <c r="O404" s="89"/>
      <c r="P404" s="89"/>
      <c r="Q404" s="89"/>
      <c r="R404" s="89"/>
      <c r="S404" s="89"/>
      <c r="T404" s="89"/>
      <c r="U404" s="89"/>
      <c r="V404" s="89"/>
      <c r="W404" s="89"/>
      <c r="X404" s="89"/>
      <c r="Y404" s="89"/>
      <c r="Z404" s="89"/>
    </row>
    <row r="405" spans="1:26" ht="14.4">
      <c r="A405" s="122" t="s">
        <v>248</v>
      </c>
      <c r="B405" s="103"/>
      <c r="C405" s="93"/>
      <c r="D405" s="93"/>
      <c r="E405" s="93"/>
      <c r="F405" s="93"/>
      <c r="G405" s="93"/>
      <c r="H405" s="93"/>
      <c r="I405" s="93"/>
      <c r="J405" s="89"/>
      <c r="K405" s="89"/>
      <c r="L405" s="89"/>
      <c r="M405" s="89"/>
      <c r="N405" s="89"/>
      <c r="O405" s="89"/>
      <c r="P405" s="89"/>
      <c r="Q405" s="89"/>
      <c r="R405" s="89"/>
      <c r="S405" s="89"/>
      <c r="T405" s="89"/>
      <c r="U405" s="89"/>
      <c r="V405" s="89"/>
      <c r="W405" s="89"/>
      <c r="X405" s="89"/>
      <c r="Y405" s="89"/>
      <c r="Z405" s="89"/>
    </row>
    <row r="406" spans="1:26" ht="14.4">
      <c r="A406" s="122" t="s">
        <v>80</v>
      </c>
      <c r="B406" s="103"/>
      <c r="C406" s="93"/>
      <c r="D406" s="93"/>
      <c r="E406" s="93"/>
      <c r="F406" s="93"/>
      <c r="G406" s="93"/>
      <c r="H406" s="93"/>
      <c r="I406" s="93"/>
      <c r="J406" s="89"/>
      <c r="K406" s="89"/>
      <c r="L406" s="89"/>
      <c r="M406" s="89"/>
      <c r="N406" s="89"/>
      <c r="O406" s="89"/>
      <c r="P406" s="89"/>
      <c r="Q406" s="89"/>
      <c r="R406" s="89"/>
      <c r="S406" s="89"/>
      <c r="T406" s="89"/>
      <c r="U406" s="89"/>
      <c r="V406" s="89"/>
      <c r="W406" s="89"/>
      <c r="X406" s="89"/>
      <c r="Y406" s="89"/>
      <c r="Z406" s="89"/>
    </row>
    <row r="407" spans="1:26" ht="14.4">
      <c r="A407" s="122" t="s">
        <v>249</v>
      </c>
      <c r="B407" s="103"/>
      <c r="C407" s="93"/>
      <c r="D407" s="93"/>
      <c r="E407" s="93"/>
      <c r="F407" s="93"/>
      <c r="G407" s="93"/>
      <c r="H407" s="93"/>
      <c r="I407" s="93"/>
      <c r="J407" s="89"/>
      <c r="K407" s="89"/>
      <c r="L407" s="89"/>
      <c r="M407" s="89"/>
      <c r="N407" s="89"/>
      <c r="O407" s="89"/>
      <c r="P407" s="89"/>
      <c r="Q407" s="89"/>
      <c r="R407" s="89"/>
      <c r="S407" s="89"/>
      <c r="T407" s="89"/>
      <c r="U407" s="89"/>
      <c r="V407" s="89"/>
      <c r="W407" s="89"/>
      <c r="X407" s="89"/>
      <c r="Y407" s="89"/>
      <c r="Z407" s="89"/>
    </row>
    <row r="408" spans="1:26" ht="18">
      <c r="A408" s="135" t="s">
        <v>1271</v>
      </c>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spans="1:26" ht="14.4">
      <c r="A409" s="117" t="s">
        <v>1270</v>
      </c>
      <c r="B409" s="103"/>
      <c r="C409" s="93"/>
      <c r="D409" s="93"/>
      <c r="E409" s="93"/>
      <c r="F409" s="93"/>
      <c r="G409" s="93"/>
      <c r="H409" s="93"/>
      <c r="I409" s="93"/>
      <c r="J409" s="89"/>
      <c r="K409" s="89"/>
      <c r="L409" s="89"/>
      <c r="M409" s="89"/>
      <c r="N409" s="89"/>
      <c r="O409" s="89"/>
      <c r="P409" s="89"/>
      <c r="Q409" s="89"/>
      <c r="R409" s="89"/>
      <c r="S409" s="89"/>
      <c r="T409" s="89"/>
      <c r="U409" s="89"/>
      <c r="V409" s="89"/>
      <c r="W409" s="89"/>
      <c r="X409" s="89"/>
      <c r="Y409" s="89"/>
      <c r="Z409" s="89"/>
    </row>
    <row r="410" spans="1:26" ht="14.4">
      <c r="A410" s="122" t="s">
        <v>250</v>
      </c>
      <c r="B410" s="103"/>
      <c r="C410" s="93"/>
      <c r="D410" s="93"/>
      <c r="E410" s="93"/>
      <c r="F410" s="93"/>
      <c r="G410" s="93"/>
      <c r="H410" s="93"/>
      <c r="I410" s="93"/>
      <c r="J410" s="89"/>
      <c r="K410" s="89"/>
      <c r="L410" s="89"/>
      <c r="M410" s="89"/>
      <c r="N410" s="89"/>
      <c r="O410" s="89"/>
      <c r="P410" s="89"/>
      <c r="Q410" s="89"/>
      <c r="R410" s="89"/>
      <c r="S410" s="89"/>
      <c r="T410" s="89"/>
      <c r="U410" s="89"/>
      <c r="V410" s="89"/>
      <c r="W410" s="89"/>
      <c r="X410" s="89"/>
      <c r="Y410" s="89"/>
      <c r="Z410" s="89"/>
    </row>
    <row r="411" spans="1:26" ht="14.4">
      <c r="A411" s="122" t="s">
        <v>251</v>
      </c>
      <c r="B411" s="103"/>
      <c r="C411" s="93"/>
      <c r="D411" s="93"/>
      <c r="E411" s="93"/>
      <c r="F411" s="93"/>
      <c r="G411" s="93"/>
      <c r="H411" s="93"/>
      <c r="I411" s="93"/>
      <c r="J411" s="89"/>
      <c r="K411" s="89"/>
      <c r="L411" s="89"/>
      <c r="M411" s="89"/>
      <c r="N411" s="89"/>
      <c r="O411" s="89"/>
      <c r="P411" s="89"/>
      <c r="Q411" s="89"/>
      <c r="R411" s="89"/>
      <c r="S411" s="89"/>
      <c r="T411" s="89"/>
      <c r="U411" s="89"/>
      <c r="V411" s="89"/>
      <c r="W411" s="89"/>
      <c r="X411" s="89"/>
      <c r="Y411" s="89"/>
      <c r="Z411" s="89"/>
    </row>
    <row r="412" spans="1:26" ht="14.4">
      <c r="A412" s="122" t="s">
        <v>252</v>
      </c>
      <c r="B412" s="103"/>
      <c r="C412" s="93"/>
      <c r="D412" s="93"/>
      <c r="E412" s="93"/>
      <c r="F412" s="93"/>
      <c r="G412" s="93"/>
      <c r="H412" s="93"/>
      <c r="I412" s="93"/>
      <c r="J412" s="89"/>
      <c r="K412" s="89"/>
      <c r="L412" s="89"/>
      <c r="M412" s="89"/>
      <c r="N412" s="89"/>
      <c r="O412" s="89"/>
      <c r="P412" s="89"/>
      <c r="Q412" s="89"/>
      <c r="R412" s="89"/>
      <c r="S412" s="89"/>
      <c r="T412" s="89"/>
      <c r="U412" s="89"/>
      <c r="V412" s="89"/>
      <c r="W412" s="89"/>
      <c r="X412" s="89"/>
      <c r="Y412" s="89"/>
      <c r="Z412" s="89"/>
    </row>
    <row r="413" spans="1:26" ht="14.4">
      <c r="A413" s="122" t="s">
        <v>253</v>
      </c>
      <c r="B413" s="103"/>
      <c r="C413" s="93"/>
      <c r="D413" s="93"/>
      <c r="E413" s="93"/>
      <c r="F413" s="93"/>
      <c r="G413" s="93"/>
      <c r="H413" s="93"/>
      <c r="I413" s="93"/>
      <c r="J413" s="89"/>
      <c r="K413" s="89"/>
      <c r="L413" s="89"/>
      <c r="M413" s="89"/>
      <c r="N413" s="89"/>
      <c r="O413" s="89"/>
      <c r="P413" s="89"/>
      <c r="Q413" s="89"/>
      <c r="R413" s="89"/>
      <c r="S413" s="89"/>
      <c r="T413" s="89"/>
      <c r="U413" s="89"/>
      <c r="V413" s="89"/>
      <c r="W413" s="89"/>
      <c r="X413" s="89"/>
      <c r="Y413" s="89"/>
      <c r="Z413" s="89"/>
    </row>
    <row r="414" spans="1:26" ht="14.4">
      <c r="A414" s="122" t="s">
        <v>254</v>
      </c>
      <c r="B414" s="103"/>
      <c r="C414" s="93"/>
      <c r="D414" s="93"/>
      <c r="E414" s="93"/>
      <c r="F414" s="93"/>
      <c r="G414" s="93"/>
      <c r="H414" s="93"/>
      <c r="I414" s="93"/>
      <c r="J414" s="89"/>
      <c r="K414" s="89"/>
      <c r="L414" s="89"/>
      <c r="M414" s="89"/>
      <c r="N414" s="89"/>
      <c r="O414" s="89"/>
      <c r="P414" s="89"/>
      <c r="Q414" s="89"/>
      <c r="R414" s="89"/>
      <c r="S414" s="89"/>
      <c r="T414" s="89"/>
      <c r="U414" s="89"/>
      <c r="V414" s="89"/>
      <c r="W414" s="89"/>
      <c r="X414" s="89"/>
      <c r="Y414" s="89"/>
      <c r="Z414" s="89"/>
    </row>
    <row r="415" spans="1:26" ht="14.4">
      <c r="A415" s="124" t="s">
        <v>1269</v>
      </c>
      <c r="B415" s="103"/>
      <c r="C415" s="93"/>
      <c r="D415" s="93"/>
      <c r="E415" s="93"/>
      <c r="F415" s="93"/>
      <c r="G415" s="93"/>
      <c r="H415" s="93"/>
      <c r="I415" s="93"/>
      <c r="J415" s="89"/>
      <c r="K415" s="89"/>
      <c r="L415" s="89"/>
      <c r="M415" s="89"/>
      <c r="N415" s="89"/>
      <c r="O415" s="89"/>
      <c r="P415" s="89"/>
      <c r="Q415" s="89"/>
      <c r="R415" s="89"/>
      <c r="S415" s="89"/>
      <c r="T415" s="89"/>
      <c r="U415" s="89"/>
      <c r="V415" s="89"/>
      <c r="W415" s="89"/>
      <c r="X415" s="89"/>
      <c r="Y415" s="89"/>
      <c r="Z415" s="89"/>
    </row>
    <row r="416" spans="1:26" ht="14.4">
      <c r="A416" s="122" t="s">
        <v>255</v>
      </c>
      <c r="B416" s="103"/>
      <c r="C416" s="93"/>
      <c r="D416" s="93"/>
      <c r="E416" s="93"/>
      <c r="F416" s="93"/>
      <c r="G416" s="93"/>
      <c r="H416" s="93"/>
      <c r="I416" s="93"/>
      <c r="J416" s="89"/>
      <c r="K416" s="89"/>
      <c r="L416" s="89"/>
      <c r="M416" s="89"/>
      <c r="N416" s="89"/>
      <c r="O416" s="89"/>
      <c r="P416" s="89"/>
      <c r="Q416" s="89"/>
      <c r="R416" s="89"/>
      <c r="S416" s="89"/>
      <c r="T416" s="89"/>
      <c r="U416" s="89"/>
      <c r="V416" s="89"/>
      <c r="W416" s="89"/>
      <c r="X416" s="89"/>
      <c r="Y416" s="89"/>
      <c r="Z416" s="89"/>
    </row>
    <row r="417" spans="1:26" ht="14.4">
      <c r="A417" s="122" t="s">
        <v>1268</v>
      </c>
      <c r="B417" s="103"/>
      <c r="C417" s="93"/>
      <c r="D417" s="93"/>
      <c r="E417" s="93"/>
      <c r="F417" s="93"/>
      <c r="G417" s="93"/>
      <c r="H417" s="93"/>
      <c r="I417" s="93"/>
      <c r="J417" s="89"/>
      <c r="K417" s="89"/>
      <c r="L417" s="89"/>
      <c r="M417" s="89"/>
      <c r="N417" s="89"/>
      <c r="O417" s="89"/>
      <c r="P417" s="89"/>
      <c r="Q417" s="89"/>
      <c r="R417" s="89"/>
      <c r="S417" s="89"/>
      <c r="T417" s="89"/>
      <c r="U417" s="89"/>
      <c r="V417" s="89"/>
      <c r="W417" s="89"/>
      <c r="X417" s="89"/>
      <c r="Y417" s="89"/>
      <c r="Z417" s="89"/>
    </row>
    <row r="418" spans="1:26" ht="14.4">
      <c r="A418" s="122" t="s">
        <v>1267</v>
      </c>
      <c r="B418" s="103"/>
      <c r="C418" s="93"/>
      <c r="D418" s="93"/>
      <c r="E418" s="93"/>
      <c r="F418" s="93"/>
      <c r="G418" s="93"/>
      <c r="H418" s="93"/>
      <c r="I418" s="93"/>
      <c r="J418" s="89"/>
      <c r="K418" s="89"/>
      <c r="L418" s="89"/>
      <c r="M418" s="89"/>
      <c r="N418" s="89"/>
      <c r="O418" s="89"/>
      <c r="P418" s="89"/>
      <c r="Q418" s="89"/>
      <c r="R418" s="89"/>
      <c r="S418" s="89"/>
      <c r="T418" s="89"/>
      <c r="U418" s="89"/>
      <c r="V418" s="89"/>
      <c r="W418" s="89"/>
      <c r="X418" s="89"/>
      <c r="Y418" s="89"/>
      <c r="Z418" s="89"/>
    </row>
    <row r="419" spans="1:26" ht="14.4">
      <c r="A419" s="122" t="s">
        <v>256</v>
      </c>
      <c r="B419" s="103"/>
      <c r="C419" s="93"/>
      <c r="D419" s="93"/>
      <c r="E419" s="93"/>
      <c r="F419" s="93"/>
      <c r="G419" s="93"/>
      <c r="H419" s="93"/>
      <c r="I419" s="93"/>
      <c r="J419" s="89"/>
      <c r="K419" s="89"/>
      <c r="L419" s="89"/>
      <c r="M419" s="89"/>
      <c r="N419" s="89"/>
      <c r="O419" s="89"/>
      <c r="P419" s="89"/>
      <c r="Q419" s="89"/>
      <c r="R419" s="89"/>
      <c r="S419" s="89"/>
      <c r="T419" s="89"/>
      <c r="U419" s="89"/>
      <c r="V419" s="89"/>
      <c r="W419" s="89"/>
      <c r="X419" s="89"/>
      <c r="Y419" s="89"/>
      <c r="Z419" s="89"/>
    </row>
    <row r="420" spans="1:26" ht="14.4">
      <c r="A420" s="124" t="s">
        <v>1266</v>
      </c>
      <c r="B420" s="103"/>
      <c r="C420" s="93"/>
      <c r="D420" s="93"/>
      <c r="E420" s="93"/>
      <c r="F420" s="93"/>
      <c r="G420" s="93"/>
      <c r="H420" s="93"/>
      <c r="I420" s="93"/>
      <c r="J420" s="89"/>
      <c r="K420" s="89"/>
      <c r="L420" s="89"/>
      <c r="M420" s="89"/>
      <c r="N420" s="89"/>
      <c r="O420" s="89"/>
      <c r="P420" s="89"/>
      <c r="Q420" s="89"/>
      <c r="R420" s="89"/>
      <c r="S420" s="89"/>
      <c r="T420" s="89"/>
      <c r="U420" s="89"/>
      <c r="V420" s="89"/>
      <c r="W420" s="89"/>
      <c r="X420" s="89"/>
      <c r="Y420" s="89"/>
      <c r="Z420" s="89"/>
    </row>
    <row r="421" spans="1:26" ht="14.4">
      <c r="A421" s="122" t="s">
        <v>257</v>
      </c>
      <c r="B421" s="103"/>
      <c r="C421" s="93"/>
      <c r="D421" s="93"/>
      <c r="E421" s="93"/>
      <c r="F421" s="93"/>
      <c r="G421" s="93"/>
      <c r="H421" s="93"/>
      <c r="I421" s="93"/>
      <c r="J421" s="89"/>
      <c r="K421" s="89"/>
      <c r="L421" s="89"/>
      <c r="M421" s="89"/>
      <c r="N421" s="89"/>
      <c r="O421" s="89"/>
      <c r="P421" s="89"/>
      <c r="Q421" s="89"/>
      <c r="R421" s="89"/>
      <c r="S421" s="89"/>
      <c r="T421" s="89"/>
      <c r="U421" s="89"/>
      <c r="V421" s="89"/>
      <c r="W421" s="89"/>
      <c r="X421" s="89"/>
      <c r="Y421" s="89"/>
      <c r="Z421" s="89"/>
    </row>
    <row r="422" spans="1:26" ht="14.4">
      <c r="A422" s="122" t="s">
        <v>258</v>
      </c>
      <c r="B422" s="103"/>
      <c r="C422" s="93"/>
      <c r="D422" s="93"/>
      <c r="E422" s="93"/>
      <c r="F422" s="93"/>
      <c r="G422" s="93"/>
      <c r="H422" s="93"/>
      <c r="I422" s="93"/>
      <c r="J422" s="89"/>
      <c r="K422" s="89"/>
      <c r="L422" s="89"/>
      <c r="M422" s="89"/>
      <c r="N422" s="89"/>
      <c r="O422" s="89"/>
      <c r="P422" s="89"/>
      <c r="Q422" s="89"/>
      <c r="R422" s="89"/>
      <c r="S422" s="89"/>
      <c r="T422" s="89"/>
      <c r="U422" s="89"/>
      <c r="V422" s="89"/>
      <c r="W422" s="89"/>
      <c r="X422" s="89"/>
      <c r="Y422" s="89"/>
      <c r="Z422" s="89"/>
    </row>
    <row r="423" spans="1:26" ht="14.4">
      <c r="A423" s="122" t="s">
        <v>1265</v>
      </c>
      <c r="B423" s="103"/>
      <c r="C423" s="93"/>
      <c r="D423" s="93"/>
      <c r="E423" s="93"/>
      <c r="F423" s="93"/>
      <c r="G423" s="93"/>
      <c r="H423" s="93"/>
      <c r="I423" s="93"/>
      <c r="J423" s="89"/>
      <c r="K423" s="89"/>
      <c r="L423" s="89"/>
      <c r="M423" s="89"/>
      <c r="N423" s="89"/>
      <c r="O423" s="89"/>
      <c r="P423" s="89"/>
      <c r="Q423" s="89"/>
      <c r="R423" s="89"/>
      <c r="S423" s="89"/>
      <c r="T423" s="89"/>
      <c r="U423" s="89"/>
      <c r="V423" s="89"/>
      <c r="W423" s="89"/>
      <c r="X423" s="89"/>
      <c r="Y423" s="89"/>
      <c r="Z423" s="89"/>
    </row>
    <row r="424" spans="1:26" ht="14.4">
      <c r="A424" s="122" t="s">
        <v>259</v>
      </c>
      <c r="B424" s="103"/>
      <c r="C424" s="93"/>
      <c r="D424" s="93"/>
      <c r="E424" s="93"/>
      <c r="F424" s="93"/>
      <c r="G424" s="93"/>
      <c r="H424" s="93"/>
      <c r="I424" s="93"/>
      <c r="J424" s="89"/>
      <c r="K424" s="89"/>
      <c r="L424" s="89"/>
      <c r="M424" s="89"/>
      <c r="N424" s="89"/>
      <c r="O424" s="89"/>
      <c r="P424" s="89"/>
      <c r="Q424" s="89"/>
      <c r="R424" s="89"/>
      <c r="S424" s="89"/>
      <c r="T424" s="89"/>
      <c r="U424" s="89"/>
      <c r="V424" s="89"/>
      <c r="W424" s="89"/>
      <c r="X424" s="89"/>
      <c r="Y424" s="89"/>
      <c r="Z424" s="89"/>
    </row>
    <row r="425" spans="1:26" ht="14.4">
      <c r="A425" s="122" t="s">
        <v>1264</v>
      </c>
      <c r="B425" s="103"/>
      <c r="C425" s="93"/>
      <c r="D425" s="93"/>
      <c r="E425" s="93"/>
      <c r="F425" s="93"/>
      <c r="G425" s="93"/>
      <c r="H425" s="93"/>
      <c r="I425" s="93"/>
      <c r="J425" s="89"/>
      <c r="K425" s="89"/>
      <c r="L425" s="89"/>
      <c r="M425" s="89"/>
      <c r="N425" s="89"/>
      <c r="O425" s="89"/>
      <c r="P425" s="89"/>
      <c r="Q425" s="89"/>
      <c r="R425" s="89"/>
      <c r="S425" s="89"/>
      <c r="T425" s="89"/>
      <c r="U425" s="89"/>
      <c r="V425" s="89"/>
      <c r="W425" s="89"/>
      <c r="X425" s="89"/>
      <c r="Y425" s="89"/>
      <c r="Z425" s="89"/>
    </row>
    <row r="426" spans="1:26" ht="14.4">
      <c r="A426" s="124" t="s">
        <v>1263</v>
      </c>
      <c r="B426" s="103"/>
      <c r="C426" s="93"/>
      <c r="D426" s="93"/>
      <c r="E426" s="93"/>
      <c r="F426" s="93"/>
      <c r="G426" s="93"/>
      <c r="H426" s="93"/>
      <c r="I426" s="93"/>
      <c r="J426" s="89"/>
      <c r="K426" s="89"/>
      <c r="L426" s="89"/>
      <c r="M426" s="89"/>
      <c r="N426" s="89"/>
      <c r="O426" s="89"/>
      <c r="P426" s="89"/>
      <c r="Q426" s="89"/>
      <c r="R426" s="89"/>
      <c r="S426" s="89"/>
      <c r="T426" s="89"/>
      <c r="U426" s="89"/>
      <c r="V426" s="89"/>
      <c r="W426" s="89"/>
      <c r="X426" s="89"/>
      <c r="Y426" s="89"/>
      <c r="Z426" s="89"/>
    </row>
    <row r="427" spans="1:26" ht="14.4">
      <c r="A427" s="122" t="s">
        <v>260</v>
      </c>
      <c r="B427" s="103"/>
      <c r="C427" s="93"/>
      <c r="D427" s="93"/>
      <c r="E427" s="93"/>
      <c r="F427" s="93"/>
      <c r="G427" s="93"/>
      <c r="H427" s="93"/>
      <c r="I427" s="93"/>
      <c r="J427" s="89"/>
      <c r="K427" s="89"/>
      <c r="L427" s="89"/>
      <c r="M427" s="89"/>
      <c r="N427" s="89"/>
      <c r="O427" s="89"/>
      <c r="P427" s="89"/>
      <c r="Q427" s="89"/>
      <c r="R427" s="89"/>
      <c r="S427" s="89"/>
      <c r="T427" s="89"/>
      <c r="U427" s="89"/>
      <c r="V427" s="89"/>
      <c r="W427" s="89"/>
      <c r="X427" s="89"/>
      <c r="Y427" s="89"/>
      <c r="Z427" s="89"/>
    </row>
    <row r="428" spans="1:26" ht="14.4">
      <c r="A428" s="122" t="s">
        <v>261</v>
      </c>
      <c r="B428" s="103"/>
      <c r="C428" s="93"/>
      <c r="D428" s="93"/>
      <c r="E428" s="93"/>
      <c r="F428" s="93"/>
      <c r="G428" s="93"/>
      <c r="H428" s="93"/>
      <c r="I428" s="93"/>
      <c r="J428" s="89"/>
      <c r="K428" s="89"/>
      <c r="L428" s="89"/>
      <c r="M428" s="89"/>
      <c r="N428" s="89"/>
      <c r="O428" s="89"/>
      <c r="P428" s="89"/>
      <c r="Q428" s="89"/>
      <c r="R428" s="89"/>
      <c r="S428" s="89"/>
      <c r="T428" s="89"/>
      <c r="U428" s="89"/>
      <c r="V428" s="89"/>
      <c r="W428" s="89"/>
      <c r="X428" s="89"/>
      <c r="Y428" s="89"/>
      <c r="Z428" s="89"/>
    </row>
    <row r="429" spans="1:26" ht="14.4">
      <c r="A429" s="122" t="s">
        <v>262</v>
      </c>
      <c r="B429" s="103"/>
      <c r="C429" s="93"/>
      <c r="D429" s="93"/>
      <c r="E429" s="93"/>
      <c r="F429" s="93"/>
      <c r="G429" s="93"/>
      <c r="H429" s="93"/>
      <c r="I429" s="93"/>
      <c r="J429" s="89"/>
      <c r="K429" s="89"/>
      <c r="L429" s="89"/>
      <c r="M429" s="89"/>
      <c r="N429" s="89"/>
      <c r="O429" s="89"/>
      <c r="P429" s="89"/>
      <c r="Q429" s="89"/>
      <c r="R429" s="89"/>
      <c r="S429" s="89"/>
      <c r="T429" s="89"/>
      <c r="U429" s="89"/>
      <c r="V429" s="89"/>
      <c r="W429" s="89"/>
      <c r="X429" s="89"/>
      <c r="Y429" s="89"/>
      <c r="Z429" s="89"/>
    </row>
    <row r="430" spans="1:26" ht="14.4">
      <c r="A430" s="122" t="s">
        <v>263</v>
      </c>
      <c r="B430" s="103"/>
      <c r="C430" s="93"/>
      <c r="D430" s="93"/>
      <c r="E430" s="93"/>
      <c r="F430" s="93"/>
      <c r="G430" s="93"/>
      <c r="H430" s="93"/>
      <c r="I430" s="93"/>
      <c r="J430" s="89"/>
      <c r="K430" s="89"/>
      <c r="L430" s="89"/>
      <c r="M430" s="89"/>
      <c r="N430" s="89"/>
      <c r="O430" s="89"/>
      <c r="P430" s="89"/>
      <c r="Q430" s="89"/>
      <c r="R430" s="89"/>
      <c r="S430" s="89"/>
      <c r="T430" s="89"/>
      <c r="U430" s="89"/>
      <c r="V430" s="89"/>
      <c r="W430" s="89"/>
      <c r="X430" s="89"/>
      <c r="Y430" s="89"/>
      <c r="Z430" s="89"/>
    </row>
    <row r="431" spans="1:26" ht="14.4">
      <c r="A431" s="122" t="s">
        <v>264</v>
      </c>
      <c r="B431" s="103"/>
      <c r="C431" s="93"/>
      <c r="D431" s="93"/>
      <c r="E431" s="93"/>
      <c r="F431" s="93"/>
      <c r="G431" s="93"/>
      <c r="H431" s="93"/>
      <c r="I431" s="93"/>
      <c r="J431" s="89"/>
      <c r="K431" s="89"/>
      <c r="L431" s="89"/>
      <c r="M431" s="89"/>
      <c r="N431" s="89"/>
      <c r="O431" s="89"/>
      <c r="P431" s="89"/>
      <c r="Q431" s="89"/>
      <c r="R431" s="89"/>
      <c r="S431" s="89"/>
      <c r="T431" s="89"/>
      <c r="U431" s="89"/>
      <c r="V431" s="89"/>
      <c r="W431" s="89"/>
      <c r="X431" s="89"/>
      <c r="Y431" s="89"/>
      <c r="Z431" s="89"/>
    </row>
    <row r="432" spans="1:26" ht="13.2">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spans="1:26" ht="18">
      <c r="A433" s="116" t="s">
        <v>1262</v>
      </c>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spans="1:26" ht="14.4">
      <c r="A434" s="117" t="s">
        <v>1261</v>
      </c>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spans="1:26" ht="13.2">
      <c r="A435" s="139" t="s">
        <v>1260</v>
      </c>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spans="1:26" ht="13.2">
      <c r="A436" s="139" t="s">
        <v>1260</v>
      </c>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spans="1:26" ht="13.2">
      <c r="A437" s="139" t="s">
        <v>1259</v>
      </c>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spans="1:26" ht="14.4">
      <c r="A438" s="121" t="str">
        <f>HYPERLINK("https://leetcode.com/problems/russian-doll-envelopes/","Russian doll envelopes")</f>
        <v>Russian doll envelopes</v>
      </c>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spans="1:26" ht="14.4">
      <c r="A439" s="121" t="s">
        <v>1258</v>
      </c>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spans="1:26" ht="14.4">
      <c r="A440" s="119" t="s">
        <v>1257</v>
      </c>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spans="1:26" ht="13.2">
      <c r="A441" s="139" t="s">
        <v>1256</v>
      </c>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spans="1:26" ht="14.4">
      <c r="A442" s="124" t="s">
        <v>1255</v>
      </c>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spans="1:26" ht="14.4">
      <c r="A443" s="121" t="s">
        <v>1254</v>
      </c>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spans="1:26" ht="14.4">
      <c r="A444" s="121" t="s">
        <v>1253</v>
      </c>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spans="1:26" ht="14.4">
      <c r="A445" s="121" t="s">
        <v>1252</v>
      </c>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spans="1:26" ht="14.4">
      <c r="A446" s="119" t="s">
        <v>1251</v>
      </c>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spans="1:26" ht="14.4">
      <c r="A447" s="119" t="s">
        <v>1250</v>
      </c>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spans="1:26" ht="14.4">
      <c r="A448" s="119" t="s">
        <v>1249</v>
      </c>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spans="1:26" ht="13.8">
      <c r="A449" s="127" t="s">
        <v>1248</v>
      </c>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spans="1:26" ht="13.8">
      <c r="A450" s="127" t="s">
        <v>1247</v>
      </c>
      <c r="B450" s="99"/>
      <c r="C450" s="9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spans="1:26" ht="14.4">
      <c r="A451" s="121" t="s">
        <v>1246</v>
      </c>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spans="1:26" ht="13.8">
      <c r="A452" s="127" t="s">
        <v>1245</v>
      </c>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spans="1:26" ht="14.4">
      <c r="A453" s="124" t="s">
        <v>1244</v>
      </c>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spans="1:26" ht="14.4">
      <c r="A454" s="119" t="s">
        <v>1243</v>
      </c>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spans="1:26" ht="14.4">
      <c r="A455" s="121" t="str">
        <f>HYPERLINK("https://leetcode.com/problems/best-time-to-buy-and-sell-stock/","best time to buy and sell stock")</f>
        <v>best time to buy and sell stock</v>
      </c>
      <c r="B455" s="99"/>
      <c r="C455" s="9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spans="1:26" ht="14.4">
      <c r="A456" s="121" t="str">
        <f>HYPERLINK("https://leetcode.com/problems/best-time-to-buy-and-sell-stock-ii/","best time to buy and sell 2")</f>
        <v>best time to buy and sell 2</v>
      </c>
      <c r="B456" s="99"/>
      <c r="C456" s="9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spans="1:26" ht="14.4">
      <c r="A457" s="121" t="s">
        <v>1242</v>
      </c>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spans="1:26" ht="14.4">
      <c r="A458" s="121" t="str">
        <f>HYPERLINK("https://leetcode.com/problems/best-time-to-buy-and-sell-stock-with-cooldown/","best time to buy and sell with cool down")</f>
        <v>best time to buy and sell with cool down</v>
      </c>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spans="1:26" ht="14.4">
      <c r="A459" s="121" t="str">
        <f>HYPERLINK("https://leetcode.com/problems/best-time-to-buy-and-sell-stock-iii/","best time to buy and sell 3")</f>
        <v>best time to buy and sell 3</v>
      </c>
      <c r="B459" s="99"/>
      <c r="C459" s="9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spans="1:26" ht="14.4">
      <c r="A460" s="121" t="str">
        <f>HYPERLINK("https://leetcode.com/problems/best-time-to-buy-and-sell-stock-iv/","best time to but and sell 4")</f>
        <v>best time to but and sell 4</v>
      </c>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spans="1:26" ht="13.8">
      <c r="A461" s="127" t="s">
        <v>1241</v>
      </c>
      <c r="B461" s="99"/>
      <c r="C461" s="9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spans="1:26" ht="14.4">
      <c r="A462" s="124" t="s">
        <v>1240</v>
      </c>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spans="1:26" ht="13.8">
      <c r="A463" s="120" t="str">
        <f>HYPERLINK("https://leetcode.com/problems/burst-balloons/","burst balloons")</f>
        <v>burst balloons</v>
      </c>
      <c r="B463" s="99"/>
      <c r="C463" s="9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spans="1:26" ht="13.8">
      <c r="A464" s="120" t="s">
        <v>1239</v>
      </c>
      <c r="B464" s="99"/>
      <c r="C464" s="9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spans="1:26" ht="13.8">
      <c r="A465" s="127" t="s">
        <v>1238</v>
      </c>
      <c r="B465" s="99"/>
      <c r="C465" s="9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spans="1:26" ht="13.8">
      <c r="A466" s="127" t="s">
        <v>1237</v>
      </c>
      <c r="B466" s="99"/>
      <c r="C466" s="9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spans="1:26" ht="13.8">
      <c r="A467" s="120" t="str">
        <f>HYPERLINK("https://leetcode.com/problems/minimum-score-triangulation-of-polygon/","Minimum score triangulation")</f>
        <v>Minimum score triangulation</v>
      </c>
      <c r="B467" s="99"/>
      <c r="C467" s="9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spans="1:26" ht="13.8">
      <c r="A468" s="120" t="s">
        <v>1236</v>
      </c>
      <c r="B468" s="99"/>
      <c r="C468" s="9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spans="1:26" ht="14.4">
      <c r="A469" s="124" t="s">
        <v>1235</v>
      </c>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spans="1:26" ht="13.8">
      <c r="A470" s="120" t="s">
        <v>1234</v>
      </c>
      <c r="B470" s="99"/>
      <c r="C470" s="9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spans="1:26" ht="13.8">
      <c r="A471" s="127" t="s">
        <v>1233</v>
      </c>
      <c r="B471" s="99"/>
      <c r="C471" s="9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spans="1:26" ht="13.8">
      <c r="A472" s="127" t="s">
        <v>1232</v>
      </c>
      <c r="B472" s="99"/>
      <c r="C472" s="9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spans="1:26" ht="13.8">
      <c r="A473" s="127" t="str">
        <f>HYPERLINK("https://www.geeksforgeeks.org/count-palindromic-subsequence-given-string/","Count all pallindromic subsequence")</f>
        <v>Count all pallindromic subsequence</v>
      </c>
      <c r="B473" s="99"/>
      <c r="C473" s="9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spans="1:26" ht="13.8">
      <c r="A474" s="127" t="str">
        <f>HYPERLINK("https://leetcode.com/problems/count-different-palindromic-subsequences/","Count distinct pallindromic subsequence")</f>
        <v>Count distinct pallindromic subsequence</v>
      </c>
      <c r="B474" s="99"/>
      <c r="C474" s="9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spans="1:26" ht="14.4">
      <c r="A475" s="121" t="s">
        <v>1231</v>
      </c>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spans="1:26" ht="13.8">
      <c r="A476" s="120" t="str">
        <f>HYPERLINK("https://www.geeksforgeeks.org/number-subsequences-form-ai-bj-ck/","No. of sequence of type a^i+b^j+c^k")</f>
        <v>No. of sequence of type a^i+b^j+c^k</v>
      </c>
      <c r="B476" s="9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spans="1:26" ht="14.4">
      <c r="A477" s="119" t="s">
        <v>1230</v>
      </c>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spans="1:26" ht="14.4">
      <c r="A478" s="124" t="s">
        <v>1229</v>
      </c>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spans="1:26" ht="13.8">
      <c r="A479" s="120" t="s">
        <v>1228</v>
      </c>
      <c r="B479" s="99"/>
      <c r="C479" s="9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spans="1:26" ht="13.8">
      <c r="A480" s="127" t="s">
        <v>1227</v>
      </c>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spans="1:26" ht="13.8">
      <c r="A481" s="127" t="s">
        <v>1226</v>
      </c>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spans="1:26" ht="13.8">
      <c r="A482" s="127" t="s">
        <v>1225</v>
      </c>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spans="1:26" ht="13.8">
      <c r="A483" s="120" t="s">
        <v>1224</v>
      </c>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spans="1:26" ht="13.8">
      <c r="A484" s="127" t="str">
        <f>HYPERLINK("https://www.geeksforgeeks.org/super-ugly-number-number-whose-prime-factors-given-set/","Super ugly number")</f>
        <v>Super ugly number</v>
      </c>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spans="1:26" ht="13.2">
      <c r="A485" s="145" t="s">
        <v>1223</v>
      </c>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spans="1:26" ht="13.8">
      <c r="A486" s="120" t="s">
        <v>1222</v>
      </c>
      <c r="B486" s="99"/>
      <c r="C486" s="9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spans="1:26" ht="14.4">
      <c r="A487" s="124" t="s">
        <v>1221</v>
      </c>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spans="1:26" ht="13.8">
      <c r="A488" s="120" t="s">
        <v>1220</v>
      </c>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spans="1:26" ht="14.4">
      <c r="A489" s="119" t="s">
        <v>1219</v>
      </c>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spans="1:26" ht="13.8">
      <c r="A490" s="120" t="s">
        <v>1218</v>
      </c>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spans="1:26" ht="14.4">
      <c r="A491" s="119" t="s">
        <v>1217</v>
      </c>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spans="1:26" ht="14.4">
      <c r="A492" s="119" t="s">
        <v>1216</v>
      </c>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spans="1:26" ht="14.4">
      <c r="A493" s="119" t="s">
        <v>1215</v>
      </c>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spans="1:26" ht="14.4">
      <c r="A494" s="124" t="s">
        <v>1214</v>
      </c>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spans="1:26" ht="14.4">
      <c r="A495" s="119" t="s">
        <v>1213</v>
      </c>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spans="1:26" ht="14.4">
      <c r="A496" s="119" t="s">
        <v>1212</v>
      </c>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spans="1:26" ht="14.4">
      <c r="A497" s="119" t="s">
        <v>1211</v>
      </c>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spans="1:26" ht="14.4">
      <c r="A498" s="119" t="s">
        <v>1210</v>
      </c>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spans="1:26" ht="13.8">
      <c r="A499" s="120" t="str">
        <f>HYPERLINK("https://leetcode.com/problems/scramble-string/","Scramble string")</f>
        <v>Scramble string</v>
      </c>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spans="1:26" ht="14.4">
      <c r="A500" s="119" t="s">
        <v>1209</v>
      </c>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spans="1:26" ht="14.4">
      <c r="A501" s="119" t="s">
        <v>1208</v>
      </c>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spans="1:26" ht="14.4">
      <c r="A502" s="124" t="s">
        <v>1207</v>
      </c>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spans="1:26" ht="14.4">
      <c r="A503" s="119" t="s">
        <v>1206</v>
      </c>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spans="1:26" ht="14.4">
      <c r="A504" s="119" t="s">
        <v>1205</v>
      </c>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spans="1:26" ht="14.4">
      <c r="A505" s="119" t="s">
        <v>1204</v>
      </c>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spans="1:26" ht="13.8">
      <c r="A506" s="127" t="s">
        <v>1203</v>
      </c>
      <c r="B506" s="9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spans="1:26" ht="14.4">
      <c r="A507" s="121" t="s">
        <v>1202</v>
      </c>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spans="1:26" ht="13.8">
      <c r="A508" s="146" t="s">
        <v>1201</v>
      </c>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spans="1:26" ht="14.4">
      <c r="A509" s="117" t="s">
        <v>1200</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spans="1:26" ht="14.4">
      <c r="A510" s="120" t="str">
        <f>HYPERLINK("https://www.spoj.com/problems/NAJPF/","KMP")</f>
        <v>KMP</v>
      </c>
      <c r="B510" s="101"/>
      <c r="C510" s="99"/>
      <c r="D510" s="99"/>
      <c r="E510" s="99"/>
      <c r="F510" s="99"/>
      <c r="G510" s="99"/>
      <c r="H510" s="89"/>
      <c r="I510" s="89"/>
      <c r="J510" s="89"/>
      <c r="K510" s="89"/>
      <c r="L510" s="89"/>
      <c r="M510" s="89"/>
      <c r="N510" s="89"/>
      <c r="O510" s="89"/>
      <c r="P510" s="89"/>
      <c r="Q510" s="89"/>
      <c r="R510" s="89"/>
      <c r="S510" s="89"/>
      <c r="T510" s="89"/>
      <c r="U510" s="89"/>
      <c r="V510" s="89"/>
      <c r="W510" s="89"/>
      <c r="X510" s="89"/>
      <c r="Y510" s="89"/>
      <c r="Z510" s="89"/>
    </row>
    <row r="511" spans="1:26" ht="14.4">
      <c r="A511" s="120" t="s">
        <v>1199</v>
      </c>
      <c r="B511" s="101"/>
      <c r="C511" s="99"/>
      <c r="D511" s="99"/>
      <c r="E511" s="99"/>
      <c r="F511" s="99"/>
      <c r="G511" s="99"/>
      <c r="H511" s="89"/>
      <c r="I511" s="89"/>
      <c r="J511" s="89"/>
      <c r="K511" s="89"/>
      <c r="L511" s="89"/>
      <c r="M511" s="89"/>
      <c r="N511" s="89"/>
      <c r="O511" s="89"/>
      <c r="P511" s="89"/>
      <c r="Q511" s="89"/>
      <c r="R511" s="89"/>
      <c r="S511" s="89"/>
      <c r="T511" s="89"/>
      <c r="U511" s="89"/>
      <c r="V511" s="89"/>
      <c r="W511" s="89"/>
      <c r="X511" s="89"/>
      <c r="Y511" s="89"/>
      <c r="Z511" s="89"/>
    </row>
    <row r="512" spans="1:26" ht="14.4">
      <c r="A512" s="119" t="s">
        <v>1198</v>
      </c>
      <c r="B512" s="100"/>
      <c r="C512" s="99"/>
      <c r="D512" s="99"/>
      <c r="E512" s="99"/>
      <c r="F512" s="99"/>
      <c r="G512" s="99"/>
      <c r="H512" s="89"/>
      <c r="I512" s="89"/>
      <c r="J512" s="89"/>
      <c r="K512" s="89"/>
      <c r="L512" s="89"/>
      <c r="M512" s="89"/>
      <c r="N512" s="89"/>
      <c r="O512" s="89"/>
      <c r="P512" s="89"/>
      <c r="Q512" s="89"/>
      <c r="R512" s="89"/>
      <c r="S512" s="89"/>
      <c r="T512" s="89"/>
      <c r="U512" s="89"/>
      <c r="V512" s="89"/>
      <c r="W512" s="89"/>
      <c r="X512" s="89"/>
      <c r="Y512" s="89"/>
      <c r="Z512" s="89"/>
    </row>
    <row r="513" spans="1:26" ht="13.8">
      <c r="A513" s="120" t="str">
        <f>HYPERLINK("https://www.geeksforgeeks.org/z-algorithm-linear-time-pattern-searching-algorithm/","Z algo")</f>
        <v>Z algo</v>
      </c>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spans="1:26" ht="13.8">
      <c r="A514" s="120" t="str">
        <f>HYPERLINK("https://www.codechef.com/COOK103B/problems/SECPASS","chef and secret password")</f>
        <v>chef and secret password</v>
      </c>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spans="1:26" ht="13.8">
      <c r="A515" s="120" t="str">
        <f>HYPERLINK("https://www.geeksforgeeks.org/manachers-algorithm-linear-time-longest-palindromic-substring-part-1/","Manacher's algo")</f>
        <v>Manacher's algo</v>
      </c>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spans="1:26" ht="14.4">
      <c r="A516" s="117" t="s">
        <v>1197</v>
      </c>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spans="1:26" ht="13.8">
      <c r="A517" s="147" t="s">
        <v>1196</v>
      </c>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spans="1:26" ht="14.4">
      <c r="A518" s="138" t="str">
        <f>HYPERLINK("https://leetcode.com/problems/scramble-string/","Scramble string")</f>
        <v>Scramble string</v>
      </c>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spans="1:26" ht="13.8">
      <c r="A519" s="148" t="s">
        <v>1195</v>
      </c>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spans="1:26" ht="13.8">
      <c r="A520" s="120" t="s">
        <v>1194</v>
      </c>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spans="1:26" ht="13.8">
      <c r="A521" s="120" t="s">
        <v>1193</v>
      </c>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spans="1:26" ht="17.399999999999999">
      <c r="A522" s="149" t="s">
        <v>1192</v>
      </c>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spans="1:26" ht="14.4">
      <c r="A523" s="117" t="s">
        <v>1191</v>
      </c>
      <c r="B523" s="93"/>
      <c r="C523" s="93"/>
      <c r="D523" s="93"/>
      <c r="E523" s="93"/>
      <c r="F523" s="93"/>
      <c r="G523" s="93"/>
      <c r="H523" s="93"/>
      <c r="I523" s="89"/>
      <c r="J523" s="89"/>
      <c r="K523" s="89"/>
      <c r="L523" s="89"/>
      <c r="M523" s="89"/>
      <c r="N523" s="89"/>
      <c r="O523" s="89"/>
      <c r="P523" s="89"/>
      <c r="Q523" s="89"/>
      <c r="R523" s="89"/>
      <c r="S523" s="89"/>
      <c r="T523" s="89"/>
      <c r="U523" s="89"/>
      <c r="V523" s="89"/>
      <c r="W523" s="89"/>
      <c r="X523" s="89"/>
      <c r="Y523" s="89"/>
      <c r="Z523" s="89"/>
    </row>
    <row r="524" spans="1:26" ht="13.8">
      <c r="A524" s="126" t="s">
        <v>425</v>
      </c>
      <c r="B524" s="93"/>
      <c r="C524" s="93"/>
      <c r="D524" s="93"/>
      <c r="E524" s="93"/>
      <c r="F524" s="93"/>
      <c r="G524" s="93"/>
      <c r="H524" s="93"/>
      <c r="I524" s="89"/>
      <c r="J524" s="89"/>
      <c r="K524" s="89"/>
      <c r="L524" s="89"/>
      <c r="M524" s="89"/>
      <c r="N524" s="89"/>
      <c r="O524" s="89"/>
      <c r="P524" s="89"/>
      <c r="Q524" s="89"/>
      <c r="R524" s="89"/>
      <c r="S524" s="89"/>
      <c r="T524" s="89"/>
      <c r="U524" s="89"/>
      <c r="V524" s="89"/>
      <c r="W524" s="89"/>
      <c r="X524" s="89"/>
      <c r="Y524" s="89"/>
      <c r="Z524" s="89"/>
    </row>
    <row r="525" spans="1:26" ht="13.8">
      <c r="A525" s="126" t="s">
        <v>1190</v>
      </c>
      <c r="B525" s="93"/>
      <c r="C525" s="93"/>
      <c r="D525" s="93"/>
      <c r="E525" s="93"/>
      <c r="F525" s="93"/>
      <c r="G525" s="93"/>
      <c r="H525" s="93"/>
      <c r="I525" s="89"/>
      <c r="J525" s="89"/>
      <c r="K525" s="89"/>
      <c r="L525" s="89"/>
      <c r="M525" s="89"/>
      <c r="N525" s="89"/>
      <c r="O525" s="89"/>
      <c r="P525" s="89"/>
      <c r="Q525" s="89"/>
      <c r="R525" s="89"/>
      <c r="S525" s="89"/>
      <c r="T525" s="89"/>
      <c r="U525" s="89"/>
      <c r="V525" s="89"/>
      <c r="W525" s="89"/>
      <c r="X525" s="89"/>
      <c r="Y525" s="89"/>
      <c r="Z525" s="89"/>
    </row>
    <row r="526" spans="1:26" ht="14.4">
      <c r="A526" s="122" t="s">
        <v>426</v>
      </c>
      <c r="B526" s="93"/>
      <c r="C526" s="93"/>
      <c r="D526" s="93"/>
      <c r="E526" s="93"/>
      <c r="F526" s="93"/>
      <c r="G526" s="93"/>
      <c r="H526" s="93"/>
      <c r="I526" s="89"/>
      <c r="J526" s="89"/>
      <c r="K526" s="89"/>
      <c r="L526" s="89"/>
      <c r="M526" s="89"/>
      <c r="N526" s="89"/>
      <c r="O526" s="89"/>
      <c r="P526" s="89"/>
      <c r="Q526" s="89"/>
      <c r="R526" s="89"/>
      <c r="S526" s="89"/>
      <c r="T526" s="89"/>
      <c r="U526" s="89"/>
      <c r="V526" s="89"/>
      <c r="W526" s="89"/>
      <c r="X526" s="89"/>
      <c r="Y526" s="89"/>
      <c r="Z526" s="89"/>
    </row>
    <row r="527" spans="1:26" ht="14.4">
      <c r="A527" s="122" t="s">
        <v>427</v>
      </c>
      <c r="B527" s="93"/>
      <c r="C527" s="93"/>
      <c r="D527" s="93"/>
      <c r="E527" s="93"/>
      <c r="F527" s="93"/>
      <c r="G527" s="93"/>
      <c r="H527" s="93"/>
      <c r="I527" s="89"/>
      <c r="J527" s="89"/>
      <c r="K527" s="89"/>
      <c r="L527" s="89"/>
      <c r="M527" s="89"/>
      <c r="N527" s="89"/>
      <c r="O527" s="89"/>
      <c r="P527" s="89"/>
      <c r="Q527" s="89"/>
      <c r="R527" s="89"/>
      <c r="S527" s="89"/>
      <c r="T527" s="89"/>
      <c r="U527" s="89"/>
      <c r="V527" s="89"/>
      <c r="W527" s="89"/>
      <c r="X527" s="89"/>
      <c r="Y527" s="89"/>
      <c r="Z527" s="89"/>
    </row>
    <row r="528" spans="1:26" ht="13.8">
      <c r="A528" s="126" t="s">
        <v>429</v>
      </c>
      <c r="B528" s="93"/>
      <c r="C528" s="93"/>
      <c r="D528" s="93"/>
      <c r="E528" s="93"/>
      <c r="F528" s="93"/>
      <c r="G528" s="93"/>
      <c r="H528" s="93"/>
      <c r="I528" s="89"/>
      <c r="J528" s="89"/>
      <c r="K528" s="89"/>
      <c r="L528" s="89"/>
      <c r="M528" s="89"/>
      <c r="N528" s="89"/>
      <c r="O528" s="89"/>
      <c r="P528" s="89"/>
      <c r="Q528" s="89"/>
      <c r="R528" s="89"/>
      <c r="S528" s="89"/>
      <c r="T528" s="89"/>
      <c r="U528" s="89"/>
      <c r="V528" s="89"/>
      <c r="W528" s="89"/>
      <c r="X528" s="89"/>
      <c r="Y528" s="89"/>
      <c r="Z528" s="89"/>
    </row>
    <row r="529" spans="1:26" ht="14.4">
      <c r="A529" s="122" t="s">
        <v>431</v>
      </c>
      <c r="B529" s="93"/>
      <c r="C529" s="93"/>
      <c r="D529" s="93"/>
      <c r="E529" s="93"/>
      <c r="F529" s="93"/>
      <c r="G529" s="93"/>
      <c r="H529" s="93"/>
      <c r="I529" s="89"/>
      <c r="J529" s="89"/>
      <c r="K529" s="89"/>
      <c r="L529" s="89"/>
      <c r="M529" s="89"/>
      <c r="N529" s="89"/>
      <c r="O529" s="89"/>
      <c r="P529" s="89"/>
      <c r="Q529" s="89"/>
      <c r="R529" s="89"/>
      <c r="S529" s="89"/>
      <c r="T529" s="89"/>
      <c r="U529" s="89"/>
      <c r="V529" s="89"/>
      <c r="W529" s="89"/>
      <c r="X529" s="89"/>
      <c r="Y529" s="89"/>
      <c r="Z529" s="89"/>
    </row>
    <row r="530" spans="1:26" ht="14.4">
      <c r="A530" s="122" t="s">
        <v>433</v>
      </c>
      <c r="B530" s="93"/>
      <c r="C530" s="93"/>
      <c r="D530" s="93"/>
      <c r="E530" s="93"/>
      <c r="F530" s="93"/>
      <c r="G530" s="93"/>
      <c r="H530" s="93"/>
      <c r="I530" s="89"/>
      <c r="J530" s="89"/>
      <c r="K530" s="89"/>
      <c r="L530" s="89"/>
      <c r="M530" s="89"/>
      <c r="N530" s="89"/>
      <c r="O530" s="89"/>
      <c r="P530" s="89"/>
      <c r="Q530" s="89"/>
      <c r="R530" s="89"/>
      <c r="S530" s="89"/>
      <c r="T530" s="89"/>
      <c r="U530" s="89"/>
      <c r="V530" s="89"/>
      <c r="W530" s="89"/>
      <c r="X530" s="89"/>
      <c r="Y530" s="89"/>
      <c r="Z530" s="89"/>
    </row>
    <row r="531" spans="1:26" ht="14.4">
      <c r="A531" s="150" t="s">
        <v>1189</v>
      </c>
      <c r="B531" s="93"/>
      <c r="C531" s="93"/>
      <c r="D531" s="93"/>
      <c r="E531" s="93"/>
      <c r="F531" s="93"/>
      <c r="G531" s="93"/>
      <c r="H531" s="93"/>
      <c r="I531" s="89"/>
      <c r="J531" s="89"/>
      <c r="K531" s="89"/>
      <c r="L531" s="89"/>
      <c r="M531" s="89"/>
      <c r="N531" s="89"/>
      <c r="O531" s="89"/>
      <c r="P531" s="89"/>
      <c r="Q531" s="89"/>
      <c r="R531" s="89"/>
      <c r="S531" s="89"/>
      <c r="T531" s="89"/>
      <c r="U531" s="89"/>
      <c r="V531" s="89"/>
      <c r="W531" s="89"/>
      <c r="X531" s="89"/>
      <c r="Y531" s="89"/>
      <c r="Z531" s="89"/>
    </row>
    <row r="532" spans="1:26" ht="13.8">
      <c r="A532" s="151" t="s">
        <v>1188</v>
      </c>
      <c r="B532" s="93"/>
      <c r="C532" s="93"/>
      <c r="D532" s="93"/>
      <c r="E532" s="93"/>
      <c r="F532" s="93"/>
      <c r="G532" s="93"/>
      <c r="H532" s="93"/>
      <c r="I532" s="89"/>
      <c r="J532" s="89"/>
      <c r="K532" s="89"/>
      <c r="L532" s="89"/>
      <c r="M532" s="89"/>
      <c r="N532" s="89"/>
      <c r="O532" s="89"/>
      <c r="P532" s="89"/>
      <c r="Q532" s="89"/>
      <c r="R532" s="89"/>
      <c r="S532" s="89"/>
      <c r="T532" s="89"/>
      <c r="U532" s="89"/>
      <c r="V532" s="89"/>
      <c r="W532" s="89"/>
      <c r="X532" s="89"/>
      <c r="Y532" s="89"/>
      <c r="Z532" s="89"/>
    </row>
    <row r="533" spans="1:26" ht="13.8">
      <c r="A533" s="126" t="s">
        <v>1187</v>
      </c>
      <c r="B533" s="93"/>
      <c r="C533" s="93"/>
      <c r="D533" s="93"/>
      <c r="E533" s="93"/>
      <c r="F533" s="93"/>
      <c r="G533" s="93"/>
      <c r="H533" s="93"/>
      <c r="I533" s="89"/>
      <c r="J533" s="89"/>
      <c r="K533" s="89"/>
      <c r="L533" s="89"/>
      <c r="M533" s="89"/>
      <c r="N533" s="89"/>
      <c r="O533" s="89"/>
      <c r="P533" s="89"/>
      <c r="Q533" s="89"/>
      <c r="R533" s="89"/>
      <c r="S533" s="89"/>
      <c r="T533" s="89"/>
      <c r="U533" s="89"/>
      <c r="V533" s="89"/>
      <c r="W533" s="89"/>
      <c r="X533" s="89"/>
      <c r="Y533" s="89"/>
      <c r="Z533" s="89"/>
    </row>
    <row r="534" spans="1:26" ht="13.8">
      <c r="A534" s="126" t="s">
        <v>1446</v>
      </c>
      <c r="B534" s="93"/>
      <c r="C534" s="93"/>
      <c r="D534" s="93"/>
      <c r="E534" s="93"/>
      <c r="F534" s="93"/>
      <c r="G534" s="93"/>
      <c r="H534" s="93"/>
      <c r="I534" s="89"/>
      <c r="J534" s="89"/>
      <c r="K534" s="89"/>
      <c r="L534" s="89"/>
      <c r="M534" s="89"/>
      <c r="N534" s="89"/>
      <c r="O534" s="89"/>
      <c r="P534" s="89"/>
      <c r="Q534" s="89"/>
      <c r="R534" s="89"/>
      <c r="S534" s="89"/>
      <c r="T534" s="89"/>
      <c r="U534" s="89"/>
      <c r="V534" s="89"/>
      <c r="W534" s="89"/>
      <c r="X534" s="89"/>
      <c r="Y534" s="89"/>
      <c r="Z534" s="89"/>
    </row>
    <row r="535" spans="1:26" ht="13.8">
      <c r="A535" s="126" t="s">
        <v>1186</v>
      </c>
      <c r="B535" s="93"/>
      <c r="C535" s="93"/>
      <c r="D535" s="93"/>
      <c r="E535" s="93"/>
      <c r="F535" s="93"/>
      <c r="G535" s="93"/>
      <c r="H535" s="93"/>
      <c r="I535" s="89"/>
      <c r="J535" s="89"/>
      <c r="K535" s="89"/>
      <c r="L535" s="89"/>
      <c r="M535" s="89"/>
      <c r="N535" s="89"/>
      <c r="O535" s="89"/>
      <c r="P535" s="89"/>
      <c r="Q535" s="89"/>
      <c r="R535" s="89"/>
      <c r="S535" s="89"/>
      <c r="T535" s="89"/>
      <c r="U535" s="89"/>
      <c r="V535" s="89"/>
      <c r="W535" s="89"/>
      <c r="X535" s="89"/>
      <c r="Y535" s="89"/>
      <c r="Z535" s="89"/>
    </row>
    <row r="536" spans="1:26" ht="13.8">
      <c r="A536" s="126" t="s">
        <v>1185</v>
      </c>
      <c r="B536" s="93"/>
      <c r="C536" s="93"/>
      <c r="D536" s="93"/>
      <c r="E536" s="93"/>
      <c r="F536" s="93"/>
      <c r="G536" s="93"/>
      <c r="H536" s="93"/>
      <c r="I536" s="89"/>
      <c r="J536" s="89"/>
      <c r="K536" s="89"/>
      <c r="L536" s="89"/>
      <c r="M536" s="89"/>
      <c r="N536" s="89"/>
      <c r="O536" s="89"/>
      <c r="P536" s="89"/>
      <c r="Q536" s="89"/>
      <c r="R536" s="89"/>
      <c r="S536" s="89"/>
      <c r="T536" s="89"/>
      <c r="U536" s="89"/>
      <c r="V536" s="89"/>
      <c r="W536" s="89"/>
      <c r="X536" s="89"/>
      <c r="Y536" s="89"/>
      <c r="Z536" s="89"/>
    </row>
    <row r="537" spans="1:26" ht="13.8">
      <c r="A537" s="126" t="s">
        <v>1184</v>
      </c>
      <c r="B537" s="93"/>
      <c r="C537" s="93"/>
      <c r="D537" s="93"/>
      <c r="E537" s="93"/>
      <c r="F537" s="93"/>
      <c r="G537" s="93"/>
      <c r="H537" s="93"/>
      <c r="I537" s="89"/>
      <c r="J537" s="89"/>
      <c r="K537" s="89"/>
      <c r="L537" s="89"/>
      <c r="M537" s="89"/>
      <c r="N537" s="89"/>
      <c r="O537" s="89"/>
      <c r="P537" s="89"/>
      <c r="Q537" s="89"/>
      <c r="R537" s="89"/>
      <c r="S537" s="89"/>
      <c r="T537" s="89"/>
      <c r="U537" s="89"/>
      <c r="V537" s="89"/>
      <c r="W537" s="89"/>
      <c r="X537" s="89"/>
      <c r="Y537" s="89"/>
      <c r="Z537" s="89"/>
    </row>
    <row r="538" spans="1:26" ht="13.8">
      <c r="A538" s="126" t="s">
        <v>1183</v>
      </c>
      <c r="B538" s="93"/>
      <c r="C538" s="93"/>
      <c r="D538" s="93"/>
      <c r="E538" s="93"/>
      <c r="F538" s="93"/>
      <c r="G538" s="93"/>
      <c r="H538" s="93"/>
      <c r="I538" s="89"/>
      <c r="J538" s="89"/>
      <c r="K538" s="89"/>
      <c r="L538" s="89"/>
      <c r="M538" s="89"/>
      <c r="N538" s="89"/>
      <c r="O538" s="89"/>
      <c r="P538" s="89"/>
      <c r="Q538" s="89"/>
      <c r="R538" s="89"/>
      <c r="S538" s="89"/>
      <c r="T538" s="89"/>
      <c r="U538" s="89"/>
      <c r="V538" s="89"/>
      <c r="W538" s="89"/>
      <c r="X538" s="89"/>
      <c r="Y538" s="89"/>
      <c r="Z538" s="89"/>
    </row>
    <row r="539" spans="1:26" ht="13.8">
      <c r="A539" s="126"/>
      <c r="B539" s="93"/>
      <c r="C539" s="93"/>
      <c r="D539" s="93"/>
      <c r="E539" s="93"/>
      <c r="F539" s="93"/>
      <c r="G539" s="93"/>
      <c r="H539" s="93"/>
      <c r="I539" s="89"/>
      <c r="J539" s="89"/>
      <c r="K539" s="89"/>
      <c r="L539" s="89"/>
      <c r="M539" s="89"/>
      <c r="N539" s="89"/>
      <c r="O539" s="89"/>
      <c r="P539" s="89"/>
      <c r="Q539" s="89"/>
      <c r="R539" s="89"/>
      <c r="S539" s="89"/>
      <c r="T539" s="89"/>
      <c r="U539" s="89"/>
      <c r="V539" s="89"/>
      <c r="W539" s="89"/>
      <c r="X539" s="89"/>
      <c r="Y539" s="89"/>
      <c r="Z539" s="89"/>
    </row>
    <row r="540" spans="1:26" ht="17.399999999999999">
      <c r="A540" s="152" t="s">
        <v>1182</v>
      </c>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spans="1:26" ht="14.4">
      <c r="A541" s="153" t="s">
        <v>1181</v>
      </c>
      <c r="B541" s="93"/>
      <c r="C541" s="93"/>
      <c r="D541" s="93"/>
      <c r="E541" s="93"/>
      <c r="F541" s="93"/>
      <c r="G541" s="93"/>
      <c r="H541" s="93"/>
      <c r="I541" s="89"/>
      <c r="J541" s="89"/>
      <c r="K541" s="89"/>
      <c r="L541" s="89"/>
      <c r="M541" s="89"/>
      <c r="N541" s="89"/>
      <c r="O541" s="89"/>
      <c r="P541" s="89"/>
      <c r="Q541" s="89"/>
      <c r="R541" s="89"/>
      <c r="S541" s="89"/>
      <c r="T541" s="89"/>
      <c r="U541" s="89"/>
      <c r="V541" s="89"/>
      <c r="W541" s="89"/>
      <c r="X541" s="89"/>
      <c r="Y541" s="89"/>
      <c r="Z541" s="89"/>
    </row>
    <row r="542" spans="1:26" ht="13.8">
      <c r="A542" s="120" t="s">
        <v>1180</v>
      </c>
      <c r="B542" s="89"/>
      <c r="C542" s="93"/>
      <c r="D542" s="93"/>
      <c r="E542" s="93"/>
      <c r="F542" s="93"/>
      <c r="G542" s="93"/>
      <c r="H542" s="93"/>
      <c r="I542" s="89"/>
      <c r="J542" s="89"/>
      <c r="K542" s="89"/>
      <c r="L542" s="89"/>
      <c r="M542" s="89"/>
      <c r="N542" s="89"/>
      <c r="O542" s="89"/>
      <c r="P542" s="89"/>
      <c r="Q542" s="89"/>
      <c r="R542" s="89"/>
      <c r="S542" s="89"/>
      <c r="T542" s="89"/>
      <c r="U542" s="89"/>
      <c r="V542" s="89"/>
      <c r="W542" s="89"/>
      <c r="X542" s="89"/>
      <c r="Y542" s="89"/>
      <c r="Z542" s="89"/>
    </row>
    <row r="543" spans="1:26" ht="13.8">
      <c r="A543" s="126" t="s">
        <v>1179</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spans="1:26" ht="13.8">
      <c r="A544" s="120" t="s">
        <v>1178</v>
      </c>
      <c r="B544" s="89"/>
      <c r="C544" s="93"/>
      <c r="D544" s="93"/>
      <c r="E544" s="89"/>
      <c r="F544" s="89"/>
      <c r="G544" s="89"/>
      <c r="H544" s="89"/>
      <c r="I544" s="89"/>
      <c r="J544" s="89"/>
      <c r="K544" s="89"/>
      <c r="L544" s="89"/>
      <c r="M544" s="89"/>
      <c r="N544" s="89"/>
      <c r="O544" s="89"/>
      <c r="P544" s="89"/>
      <c r="Q544" s="89"/>
      <c r="R544" s="89"/>
      <c r="S544" s="89"/>
      <c r="T544" s="89"/>
      <c r="U544" s="89"/>
      <c r="V544" s="89"/>
      <c r="W544" s="89"/>
      <c r="X544" s="89"/>
      <c r="Y544" s="89"/>
      <c r="Z544" s="89"/>
    </row>
    <row r="545" spans="1:26" ht="13.8">
      <c r="A545" s="120" t="s">
        <v>1177</v>
      </c>
      <c r="B545" s="89"/>
      <c r="C545" s="93"/>
      <c r="D545" s="93"/>
      <c r="E545" s="89"/>
      <c r="F545" s="89"/>
      <c r="G545" s="89"/>
      <c r="H545" s="89"/>
      <c r="I545" s="89"/>
      <c r="J545" s="89"/>
      <c r="K545" s="89"/>
      <c r="L545" s="89"/>
      <c r="M545" s="89"/>
      <c r="N545" s="89"/>
      <c r="O545" s="89"/>
      <c r="P545" s="89"/>
      <c r="Q545" s="89"/>
      <c r="R545" s="89"/>
      <c r="S545" s="89"/>
      <c r="T545" s="89"/>
      <c r="U545" s="89"/>
      <c r="V545" s="89"/>
      <c r="W545" s="89"/>
      <c r="X545" s="89"/>
      <c r="Y545" s="89"/>
      <c r="Z545" s="89"/>
    </row>
    <row r="546" spans="1:26" ht="13.8">
      <c r="A546" s="120" t="s">
        <v>1176</v>
      </c>
      <c r="B546" s="89"/>
      <c r="C546" s="93"/>
      <c r="D546" s="93"/>
      <c r="E546" s="89"/>
      <c r="F546" s="89"/>
      <c r="G546" s="89"/>
      <c r="H546" s="89"/>
      <c r="I546" s="89"/>
      <c r="J546" s="89"/>
      <c r="K546" s="89"/>
      <c r="L546" s="89"/>
      <c r="M546" s="89"/>
      <c r="N546" s="89"/>
      <c r="O546" s="89"/>
      <c r="P546" s="89"/>
      <c r="Q546" s="89"/>
      <c r="R546" s="89"/>
      <c r="S546" s="89"/>
      <c r="T546" s="89"/>
      <c r="U546" s="89"/>
      <c r="V546" s="89"/>
      <c r="W546" s="89"/>
      <c r="X546" s="89"/>
      <c r="Y546" s="89"/>
      <c r="Z546" s="89"/>
    </row>
    <row r="547" spans="1:26" ht="13.8">
      <c r="A547" s="120" t="s">
        <v>1175</v>
      </c>
      <c r="B547" s="89"/>
      <c r="C547" s="93"/>
      <c r="D547" s="93"/>
      <c r="E547" s="89"/>
      <c r="F547" s="89"/>
      <c r="G547" s="89"/>
      <c r="H547" s="89"/>
      <c r="I547" s="89"/>
      <c r="J547" s="89"/>
      <c r="K547" s="89"/>
      <c r="L547" s="89"/>
      <c r="M547" s="89"/>
      <c r="N547" s="89"/>
      <c r="O547" s="89"/>
      <c r="P547" s="89"/>
      <c r="Q547" s="89"/>
      <c r="R547" s="89"/>
      <c r="S547" s="89"/>
      <c r="T547" s="89"/>
      <c r="U547" s="89"/>
      <c r="V547" s="89"/>
      <c r="W547" s="89"/>
      <c r="X547" s="89"/>
      <c r="Y547" s="89"/>
      <c r="Z547" s="89"/>
    </row>
    <row r="548" spans="1:26" s="112" customFormat="1" ht="30">
      <c r="A548" s="114"/>
      <c r="B548" s="160"/>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91" spans="1:26" ht="15.6">
      <c r="A591" s="120"/>
      <c r="B591" s="97"/>
    </row>
    <row r="592" spans="1:26" ht="45">
      <c r="A592" s="107"/>
      <c r="B592" s="96"/>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spans="1:26" ht="13.2">
      <c r="A593" s="107"/>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spans="1:26" ht="19.8">
      <c r="A594" s="154"/>
      <c r="B594" s="95"/>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spans="1:26" ht="21">
      <c r="A595" s="154"/>
      <c r="B595" s="94"/>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spans="1:26" ht="21">
      <c r="A596" s="154"/>
      <c r="B596" s="94"/>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spans="1:26" ht="13.2">
      <c r="A597" s="107"/>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spans="1:26" ht="13.8">
      <c r="A598" s="155"/>
      <c r="B598" s="90"/>
    </row>
    <row r="599" spans="1:26" ht="13.8">
      <c r="A599" s="155"/>
      <c r="B599" s="90"/>
    </row>
    <row r="600" spans="1:26" ht="14.4">
      <c r="A600" s="155"/>
      <c r="B600" s="92"/>
    </row>
    <row r="601" spans="1:26" ht="14.4">
      <c r="A601" s="155"/>
      <c r="B601" s="92"/>
    </row>
    <row r="602" spans="1:26" ht="13.8">
      <c r="A602" s="155"/>
      <c r="B602" s="90"/>
    </row>
    <row r="603" spans="1:26" ht="14.4">
      <c r="A603" s="155"/>
      <c r="B603" s="92"/>
    </row>
    <row r="604" spans="1:26" ht="14.4">
      <c r="A604" s="155"/>
      <c r="B604" s="92"/>
    </row>
    <row r="605" spans="1:26" ht="13.8">
      <c r="A605" s="155"/>
      <c r="B605" s="91"/>
    </row>
    <row r="606" spans="1:26" ht="13.8">
      <c r="A606" s="155"/>
      <c r="B606" s="90"/>
    </row>
    <row r="607" spans="1:26" ht="13.8">
      <c r="A607" s="155"/>
      <c r="B607" s="90"/>
    </row>
    <row r="608" spans="1:26" ht="13.8">
      <c r="A608" s="155"/>
      <c r="B608" s="90"/>
    </row>
    <row r="609" spans="1:2" ht="13.8">
      <c r="A609" s="155"/>
      <c r="B609" s="90"/>
    </row>
    <row r="610" spans="1:2" ht="13.8">
      <c r="A610" s="155"/>
      <c r="B610" s="90"/>
    </row>
    <row r="611" spans="1:2" ht="13.8">
      <c r="A611" s="155"/>
      <c r="B611" s="90"/>
    </row>
    <row r="612" spans="1:2" ht="13.2">
      <c r="B612" s="89"/>
    </row>
    <row r="613" spans="1:2" ht="13.8">
      <c r="A613" s="155"/>
      <c r="B613" s="88"/>
    </row>
    <row r="614" spans="1:2" ht="13.8">
      <c r="A614" s="155"/>
      <c r="B614" s="88"/>
    </row>
    <row r="615" spans="1:2" ht="13.8">
      <c r="A615" s="155"/>
      <c r="B615" s="88"/>
    </row>
    <row r="616" spans="1:2" ht="13.8">
      <c r="A616" s="155"/>
      <c r="B616" s="88"/>
    </row>
    <row r="617" spans="1:2" ht="13.8">
      <c r="A617" s="155"/>
      <c r="B617" s="88"/>
    </row>
    <row r="618" spans="1:2" ht="13.8">
      <c r="A618" s="155"/>
      <c r="B618" s="88"/>
    </row>
  </sheetData>
  <hyperlinks>
    <hyperlink ref="A18" r:id="rId1" xr:uid="{E313393B-7A04-4E3A-9EAF-1D448EB401A2}"/>
    <hyperlink ref="A19" r:id="rId2" xr:uid="{465BB8A4-8997-482C-BAC6-E6CBDA56C264}"/>
    <hyperlink ref="A20" r:id="rId3" xr:uid="{DE067868-1EFA-4461-85A8-20C3C6F0C897}"/>
    <hyperlink ref="A21" r:id="rId4" xr:uid="{585D5064-BA63-41A4-AD6D-DF3179327D37}"/>
    <hyperlink ref="A22" r:id="rId5" xr:uid="{5A413A6F-34B3-49CA-A905-43DAFEA8FDAC}"/>
    <hyperlink ref="A28" r:id="rId6" xr:uid="{BE9B018B-46E1-4ABE-9DE2-4223D12BBF5B}"/>
    <hyperlink ref="A31" r:id="rId7" xr:uid="{1404BF32-1218-4FCC-AAC4-9C31A1DCA33C}"/>
    <hyperlink ref="A38" r:id="rId8" xr:uid="{DBAFE648-3699-4E5E-B5A1-9F313DA4158F}"/>
    <hyperlink ref="A39" r:id="rId9" xr:uid="{DF3E9638-2203-4990-871F-489290B45098}"/>
    <hyperlink ref="A41" r:id="rId10" xr:uid="{D3DD8E5D-534D-43D3-B15E-79CEA157EED5}"/>
    <hyperlink ref="A42" r:id="rId11" xr:uid="{D0CE8926-EA90-419E-9D5E-A6580FE164A0}"/>
    <hyperlink ref="A43" r:id="rId12" xr:uid="{247B9AE8-C34C-4FC8-A492-7497A03FA64E}"/>
    <hyperlink ref="A44" r:id="rId13" xr:uid="{D5B75450-83B7-4405-83F0-100395AC3445}"/>
    <hyperlink ref="A45" r:id="rId14" xr:uid="{24AFDB85-EBB4-49FA-97C6-5ACB53AFDBBE}"/>
    <hyperlink ref="A48" r:id="rId15" xr:uid="{06EC05C1-434F-4ADA-ACA3-C79AFD245552}"/>
    <hyperlink ref="A51" r:id="rId16" xr:uid="{744E3A9C-2547-44A3-91D6-FE74CDB98EAA}"/>
    <hyperlink ref="A53" r:id="rId17" xr:uid="{0AAD990D-6F3D-4A0C-ACE1-EB3A0D6AE565}"/>
    <hyperlink ref="A60" r:id="rId18" xr:uid="{0E803C5F-DFD5-464C-82E6-B5324EF35701}"/>
    <hyperlink ref="A69" r:id="rId19" xr:uid="{4D08BAFE-A03C-4424-89E3-7A2D32D2458C}"/>
    <hyperlink ref="A72" r:id="rId20" xr:uid="{E5AA8720-1A23-46C5-9418-2BC1CC208AC8}"/>
    <hyperlink ref="A73" r:id="rId21" xr:uid="{87EAB752-53FB-4BB6-AA83-47067252822E}"/>
    <hyperlink ref="A75" r:id="rId22" xr:uid="{59CFCB3F-4C73-4C5F-BEB2-15CD98464852}"/>
    <hyperlink ref="A77" r:id="rId23" xr:uid="{E0351233-CCCA-4A73-A264-0BB78573FE4C}"/>
    <hyperlink ref="A78" r:id="rId24" xr:uid="{0E02A352-BC3D-45F6-A1B9-7159352486DA}"/>
    <hyperlink ref="A79" r:id="rId25" xr:uid="{D1E50647-83D6-4862-9CED-FE746041DB68}"/>
    <hyperlink ref="A81" r:id="rId26" xr:uid="{B326814D-C5AD-47A3-924B-ADB8775A6787}"/>
    <hyperlink ref="A84" r:id="rId27" xr:uid="{2BD2966B-1EBF-4C29-A6DC-61B24F28FF6E}"/>
    <hyperlink ref="A85" r:id="rId28" xr:uid="{49AAAC09-29C8-49D1-8DEB-19F5B5498FD6}"/>
    <hyperlink ref="A87" r:id="rId29" xr:uid="{48EF9ECB-A357-45AA-B260-9B46E2CD4A6D}"/>
    <hyperlink ref="A88" r:id="rId30" xr:uid="{88619685-266B-4BBF-9A1C-13CA36159A56}"/>
    <hyperlink ref="A92" r:id="rId31" xr:uid="{93DC619D-7608-4688-8025-735AF771BBB4}"/>
    <hyperlink ref="A93" r:id="rId32" xr:uid="{23EA2A3F-EA9C-49F3-9B9A-7F45B8731DD6}"/>
    <hyperlink ref="A94" r:id="rId33" xr:uid="{EE0D328C-D2E6-4EBD-8F09-FC820118BCD9}"/>
    <hyperlink ref="A95" r:id="rId34" xr:uid="{EFD49AF5-B48E-441A-99F9-6B56A3E6ADD1}"/>
    <hyperlink ref="A96" r:id="rId35" xr:uid="{A9DFE524-BC36-42CB-87EF-6054CCADAE47}"/>
    <hyperlink ref="A97" r:id="rId36" xr:uid="{E05D33E6-D556-4E46-B1CA-374DF8D953A6}"/>
    <hyperlink ref="A98" r:id="rId37" xr:uid="{7BD5567C-9032-4B71-BB1C-61D7F9D1DD89}"/>
    <hyperlink ref="A99" r:id="rId38" xr:uid="{B21C1F31-CB61-43F9-9806-964A2232D85A}"/>
    <hyperlink ref="A100" r:id="rId39" xr:uid="{C79C0B5B-7002-438D-B055-610096DF09FC}"/>
    <hyperlink ref="A101" r:id="rId40" xr:uid="{D829B73E-465E-4DAE-B04E-B6D1736DED6C}"/>
    <hyperlink ref="A110" r:id="rId41" xr:uid="{60E09CAE-7570-4B61-9098-FB5C987B90D3}"/>
    <hyperlink ref="A113" r:id="rId42" xr:uid="{B820ECC8-159F-4B74-ABBB-06A807200407}"/>
    <hyperlink ref="A116" r:id="rId43" xr:uid="{FC451917-5DCB-4083-9384-7E9BFE0B2AA9}"/>
    <hyperlink ref="A117" r:id="rId44" xr:uid="{E071C07F-D45B-4637-B48E-0093959B753F}"/>
    <hyperlink ref="A118" r:id="rId45" xr:uid="{8764F199-69C0-4C1C-AF45-6153A3FEC96D}"/>
    <hyperlink ref="A125" r:id="rId46" xr:uid="{B1801042-4913-42DD-A776-824B0A130B1E}"/>
    <hyperlink ref="A129" r:id="rId47" xr:uid="{D33C6AA2-17AE-4F82-98EF-E047D97086BD}"/>
    <hyperlink ref="A130" r:id="rId48" xr:uid="{E3F6B8E4-C41E-4377-9DC2-3B1DE532E82E}"/>
    <hyperlink ref="A131" r:id="rId49" xr:uid="{1F8E120B-BC4D-4708-AD6D-A57C324D2465}"/>
    <hyperlink ref="A133" r:id="rId50" xr:uid="{06D8EFB8-0E5A-4274-998F-19B9509D7606}"/>
    <hyperlink ref="A134" r:id="rId51" xr:uid="{44ADD142-220B-4865-AB07-0B1E80747E9C}"/>
    <hyperlink ref="A135" r:id="rId52" xr:uid="{FE0EBD26-58F3-4C82-9FA4-10EBAF9EC288}"/>
    <hyperlink ref="A136" r:id="rId53" xr:uid="{BC9BD211-F1A7-4471-9A4E-51E7FE98EB26}"/>
    <hyperlink ref="A137" r:id="rId54" xr:uid="{8B514F87-FF5F-44AE-9889-81C8776CE1B1}"/>
    <hyperlink ref="A138" r:id="rId55" xr:uid="{D42801AE-5576-4965-8516-CEBAC107EBBB}"/>
    <hyperlink ref="A139" r:id="rId56" xr:uid="{99BFCB2F-6838-4D58-91C0-21ECAF5EE354}"/>
    <hyperlink ref="A140" r:id="rId57" xr:uid="{A2F5D4B3-73EF-4238-8152-7EB042D8004A}"/>
    <hyperlink ref="A141" r:id="rId58" xr:uid="{E80F970F-4BD1-487F-86C3-75312B2575B5}"/>
    <hyperlink ref="A142" r:id="rId59" xr:uid="{A3B0751F-FCD4-435A-BC77-30B0F038EFED}"/>
    <hyperlink ref="A143" r:id="rId60" xr:uid="{347C9C76-A0F5-4F13-816B-6FE0DA060D0E}"/>
    <hyperlink ref="A168" r:id="rId61" xr:uid="{0BEF9BAC-93AE-445C-9A91-48673DCD40BC}"/>
    <hyperlink ref="A171" r:id="rId62" xr:uid="{3AA8D1CC-224B-4D2D-89CD-CB3A8D21E7C0}"/>
    <hyperlink ref="A179" r:id="rId63" xr:uid="{36918B54-8362-4F43-BB99-381721737407}"/>
    <hyperlink ref="A180" r:id="rId64" xr:uid="{8E20E1E8-218E-48A8-8741-FC647EA4A8B4}"/>
    <hyperlink ref="A187" r:id="rId65" xr:uid="{F5D75545-00F4-43C1-BA2B-5BBB79AF689D}"/>
    <hyperlink ref="A188" r:id="rId66" xr:uid="{889545FC-DD24-4A41-A057-662128BD583B}"/>
    <hyperlink ref="A189" r:id="rId67" xr:uid="{4DA7641F-0C5D-4893-AA41-F36FE136A551}"/>
    <hyperlink ref="A194" r:id="rId68" xr:uid="{4950FB64-156B-44AC-913D-CF5DF6FC8D76}"/>
    <hyperlink ref="A197" r:id="rId69" xr:uid="{A4E8D2E3-21FA-44B2-BDE2-523350D0A4AC}"/>
    <hyperlink ref="A198" r:id="rId70" xr:uid="{7B94D4F4-237C-40AC-8D37-AD59B89A5516}"/>
    <hyperlink ref="A199" r:id="rId71" xr:uid="{F80F51A4-8DC6-42B9-8703-9A0FF0B1CF97}"/>
    <hyperlink ref="A201" r:id="rId72" xr:uid="{C0E62C78-E7BB-47E8-86C2-1CEF86A48AAB}"/>
    <hyperlink ref="A202" r:id="rId73" xr:uid="{8A4DDC02-0A9C-46F8-B800-058ADA717EED}"/>
    <hyperlink ref="A208" r:id="rId74" xr:uid="{570B4A27-65DC-43A4-9022-6661B7381D5D}"/>
    <hyperlink ref="A209" r:id="rId75" xr:uid="{595876FA-6D5B-4964-9604-C4FBDC8DD6ED}"/>
    <hyperlink ref="A216" r:id="rId76" xr:uid="{34345429-CC48-456E-918F-DD773A210661}"/>
    <hyperlink ref="A221" r:id="rId77" xr:uid="{951722BB-E8CD-4079-B263-A4C512CD9340}"/>
    <hyperlink ref="A222" r:id="rId78" xr:uid="{A90150B3-C3BF-467B-9155-0BFEB98472C4}"/>
    <hyperlink ref="A223" r:id="rId79" xr:uid="{9739656F-A66E-48E5-BA35-C5167B63D2A7}"/>
    <hyperlink ref="A224" r:id="rId80" xr:uid="{EA2DFD66-AE6A-4BF6-B81A-EE379242E312}"/>
    <hyperlink ref="A226" r:id="rId81" xr:uid="{C9F93F8A-EEA7-4EC9-8767-A758A59645FA}"/>
    <hyperlink ref="A227" r:id="rId82" xr:uid="{28E2F2E3-38E5-4E90-B024-5F17D7838046}"/>
    <hyperlink ref="A228" r:id="rId83" xr:uid="{1355FC49-4104-4117-8056-D566D7219B6D}"/>
    <hyperlink ref="A229" r:id="rId84" xr:uid="{76823C9B-6D75-4DD5-B638-7CA53E20A956}"/>
    <hyperlink ref="A230" r:id="rId85" xr:uid="{35ED963C-17CF-49E9-A315-8235C1D780B7}"/>
    <hyperlink ref="A231" r:id="rId86" xr:uid="{6835F1D9-48E5-422B-B233-45DC2793379C}"/>
    <hyperlink ref="A232" r:id="rId87" xr:uid="{3B63B77D-2D4E-49B2-82EF-C773A56C0B0C}"/>
    <hyperlink ref="A233" r:id="rId88" xr:uid="{12CC8955-1797-49C6-85DB-325F5F13B4E2}"/>
    <hyperlink ref="A234" r:id="rId89" xr:uid="{38E25B64-3BD5-423E-85E6-7C87B13E822B}"/>
    <hyperlink ref="A235" r:id="rId90" xr:uid="{E609CC02-7D5E-4170-BD31-85783F3D7E35}"/>
    <hyperlink ref="A237" r:id="rId91" xr:uid="{A9FE6513-0653-4A47-993C-D5B86E6FA3E0}"/>
    <hyperlink ref="A241" r:id="rId92" xr:uid="{4772CD0D-EB8D-4114-8042-7269295BFB70}"/>
    <hyperlink ref="A245" r:id="rId93" xr:uid="{514C8F9A-B6BA-448F-8643-B612C0CFB151}"/>
    <hyperlink ref="A248" r:id="rId94" xr:uid="{DA88C69F-2B21-4693-AAF9-471B133C0E4A}"/>
    <hyperlink ref="A249" r:id="rId95" xr:uid="{596F90F2-086F-4EF1-9719-F9A29DD4D5A6}"/>
    <hyperlink ref="A250" r:id="rId96" xr:uid="{40833222-A65F-4A6A-80B8-5CAA69A7D4BB}"/>
    <hyperlink ref="A252" r:id="rId97" xr:uid="{CE9439CF-59B4-487A-8171-2F31F5A8C491}"/>
    <hyperlink ref="A253" r:id="rId98" xr:uid="{804E220E-9DB8-4E17-8797-EF0FD13980BD}"/>
    <hyperlink ref="A254" r:id="rId99" xr:uid="{E949D2DF-4694-403C-B65E-8196D94F9CF4}"/>
    <hyperlink ref="A255" r:id="rId100" xr:uid="{DEF9E2B6-1FD8-4537-93ED-0761D47CBF75}"/>
    <hyperlink ref="A257" r:id="rId101" xr:uid="{E991D16B-8122-4E00-8F19-02779499A065}"/>
    <hyperlink ref="A258" r:id="rId102" xr:uid="{0D1F7B97-ACC9-46A5-8489-C29919B63108}"/>
    <hyperlink ref="A261" r:id="rId103" xr:uid="{D030C56E-9C9C-4B15-8902-2B6BB36126C8}"/>
    <hyperlink ref="A262" r:id="rId104" xr:uid="{9DE5E815-D9AB-4941-88F7-E8B6F5344169}"/>
    <hyperlink ref="A267" r:id="rId105" xr:uid="{FA53B87F-32F6-4A99-9136-5719385F6F58}"/>
    <hyperlink ref="A268" r:id="rId106" xr:uid="{51CE5EDE-C0A4-4318-A73D-706213284DD6}"/>
    <hyperlink ref="A269" r:id="rId107" xr:uid="{C687551C-9C5E-4699-AAD0-14B14087EE44}"/>
    <hyperlink ref="A270" r:id="rId108" xr:uid="{AD073839-CE9E-48A7-98AB-0F751E830C3F}"/>
    <hyperlink ref="A273" r:id="rId109" xr:uid="{C242B48A-04F6-4393-9B10-5A2251A06914}"/>
    <hyperlink ref="A274" r:id="rId110" xr:uid="{2D9FC508-2B20-4900-98D8-BDB7F4EC0D7E}"/>
    <hyperlink ref="A275" r:id="rId111" xr:uid="{21F69221-F5E7-4F11-93B4-5DF285E17E31}"/>
    <hyperlink ref="A276" r:id="rId112" xr:uid="{C2EA5D78-F167-4A00-B1C5-5F5B93EDAD8B}"/>
    <hyperlink ref="A277" r:id="rId113" xr:uid="{67072DF2-EFE0-4DDE-86A4-BC5628B415C3}"/>
    <hyperlink ref="A280" r:id="rId114" xr:uid="{87F8D6C1-B3EB-41B4-A2EE-1E56E77B9B55}"/>
    <hyperlink ref="A281" r:id="rId115" xr:uid="{5B85407E-8F86-48F1-8B89-247CF5AB04F4}"/>
    <hyperlink ref="A283" r:id="rId116" xr:uid="{13A83C02-5D34-4F2C-B845-8CE6C46D9B1C}"/>
    <hyperlink ref="A284" r:id="rId117" xr:uid="{F6C6DDB6-4070-4EA3-A687-2E3D2A637F38}"/>
    <hyperlink ref="A287" r:id="rId118" xr:uid="{E8649479-3081-486C-835D-6159145D598A}"/>
    <hyperlink ref="A288" r:id="rId119" xr:uid="{C26FBD02-2852-43A3-BBD6-AF5C19E88A18}"/>
    <hyperlink ref="A289" r:id="rId120" xr:uid="{0ADB0A63-CC54-446B-955B-B210450F31FA}"/>
    <hyperlink ref="A292" r:id="rId121" xr:uid="{6047516A-2BD5-442D-98A1-0C0FAA10EEA3}"/>
    <hyperlink ref="A293" r:id="rId122" xr:uid="{9A4B0BAD-CFCE-4206-BFF1-7485705C4BA8}"/>
    <hyperlink ref="A294" r:id="rId123" xr:uid="{491C84FA-A706-4DDD-B94D-E3DE6E6251A0}"/>
    <hyperlink ref="A295" r:id="rId124" xr:uid="{39C7DDCA-3E14-4D09-9D96-657E8C8F3F1C}"/>
    <hyperlink ref="A296" r:id="rId125" xr:uid="{375F8DE6-D158-4EBA-82F9-98BF1DB9A5E6}"/>
    <hyperlink ref="A297" r:id="rId126" xr:uid="{6FFB60AD-0F08-47E9-9E6F-9807A3574EF5}"/>
    <hyperlink ref="A298" r:id="rId127" xr:uid="{9E516703-6341-41C5-B3A8-901FF17A3383}"/>
    <hyperlink ref="A299" r:id="rId128" xr:uid="{1565370F-7FF2-4A78-96F2-41C69365043D}"/>
    <hyperlink ref="A300" r:id="rId129" xr:uid="{5C4D8F16-3325-4C03-8078-5B8E77B7E3A5}"/>
    <hyperlink ref="A301" r:id="rId130" xr:uid="{52D15303-178C-49F9-AEC5-D831081E79D5}"/>
    <hyperlink ref="A302" r:id="rId131" xr:uid="{1B3C180F-03A2-4DE5-9768-5950E92CDC5B}"/>
    <hyperlink ref="A303" r:id="rId132" xr:uid="{500FA2D9-A1A0-424E-826E-C8C62AC435BE}"/>
    <hyperlink ref="A304" r:id="rId133" xr:uid="{2B60BE5D-F409-478F-9F5A-AA5D10307926}"/>
    <hyperlink ref="A305" r:id="rId134" xr:uid="{8D67F8FE-4801-46D4-B99D-C43E9AECD007}"/>
    <hyperlink ref="A306" r:id="rId135" xr:uid="{E9AE65D2-FE18-406E-8113-341EB6D4EECA}"/>
    <hyperlink ref="A307" r:id="rId136" xr:uid="{A29D3580-46FB-4F62-829A-8340A9F03208}"/>
    <hyperlink ref="A312" r:id="rId137" xr:uid="{13C2E9D8-757B-4781-8146-BC7F1BDE0BD7}"/>
    <hyperlink ref="A320" r:id="rId138" xr:uid="{23F566ED-83D8-45E2-AA92-472C147B5147}"/>
    <hyperlink ref="A328" r:id="rId139" xr:uid="{B3C9F315-341C-4E6A-865B-CE5EECA5E1FE}"/>
    <hyperlink ref="A340" r:id="rId140" xr:uid="{D9AFE2C5-CC00-4EC8-9C79-36C32741C0EF}"/>
    <hyperlink ref="A356" r:id="rId141" xr:uid="{5AB90115-BA03-48C7-90CC-0F7DFD16B181}"/>
    <hyperlink ref="A361" r:id="rId142" xr:uid="{A6E5EC01-4636-459B-A685-6B3277410452}"/>
    <hyperlink ref="A362" r:id="rId143" xr:uid="{8528D5C2-88DD-45BC-AC53-CFED0CBA9C86}"/>
    <hyperlink ref="A369" r:id="rId144" xr:uid="{9364627B-4E86-4F9D-8A88-BB2A4FBAFE61}"/>
    <hyperlink ref="A370" r:id="rId145" xr:uid="{8C019130-437B-4DB3-9C89-78FEDB2D9460}"/>
    <hyperlink ref="A371" r:id="rId146" xr:uid="{C3BD4219-077B-49A9-9012-02A68316BFF8}"/>
    <hyperlink ref="A372" r:id="rId147" xr:uid="{764037AA-A9B1-4C64-A4F3-7BED89E0A99D}"/>
    <hyperlink ref="A373" r:id="rId148" xr:uid="{DEC894E7-2F88-4314-99DE-B82E82E197F8}"/>
    <hyperlink ref="A374" r:id="rId149" xr:uid="{66F93125-9646-4843-8200-4B42E9D4CAEF}"/>
    <hyperlink ref="A375" r:id="rId150" xr:uid="{1A462209-8F85-40A3-8019-580BFBA1CD7F}"/>
    <hyperlink ref="A376" r:id="rId151" xr:uid="{2DE715C1-63B1-4578-99C3-093F7966D168}"/>
    <hyperlink ref="A377" r:id="rId152" xr:uid="{D7527059-640A-475A-831A-6C9A425AB10B}"/>
    <hyperlink ref="A378" r:id="rId153" xr:uid="{ED3F4E02-C7CD-4E3E-BD30-D76DEDF05B37}"/>
    <hyperlink ref="A379" r:id="rId154" xr:uid="{21900867-71F3-46ED-999B-DCF50264BA0A}"/>
    <hyperlink ref="A380" r:id="rId155" xr:uid="{AF9A16B3-3124-4A46-B160-69D5DDF7D610}"/>
    <hyperlink ref="A381" r:id="rId156" xr:uid="{F10C6231-D3FE-4ACC-B381-9085A131C384}"/>
    <hyperlink ref="A382" r:id="rId157" xr:uid="{C61C0FF8-072D-440E-BA04-F1FFCE5A2730}"/>
    <hyperlink ref="A383" r:id="rId158" xr:uid="{3D601ECB-17F3-4574-91C6-6E165AC06616}"/>
    <hyperlink ref="A384" r:id="rId159" xr:uid="{BD228A66-8EEF-440D-A7B0-E0BEDA0C0DB5}"/>
    <hyperlink ref="A385" r:id="rId160" xr:uid="{0AD93C7B-2D92-4543-A415-43CCA36582C8}"/>
    <hyperlink ref="A386" r:id="rId161" xr:uid="{AD977EBB-0ACF-49C3-96A9-76D6F95C05EE}"/>
    <hyperlink ref="A387" r:id="rId162" xr:uid="{94035E11-42C9-4EC0-9BEB-17C9DF0524CD}"/>
    <hyperlink ref="A388" r:id="rId163" xr:uid="{4B799FAC-258F-4138-B037-FBF2F0DD6C05}"/>
    <hyperlink ref="A389" r:id="rId164" xr:uid="{8D930660-F071-456D-873F-01E723F5B148}"/>
    <hyperlink ref="A390" r:id="rId165" xr:uid="{F4E89E16-083E-4E6A-8F42-91A6EA6BD027}"/>
    <hyperlink ref="A391" r:id="rId166" xr:uid="{9DAF4255-DF5E-4B97-93B6-1ED3D64E6887}"/>
    <hyperlink ref="A392" r:id="rId167" xr:uid="{9148411D-3BC0-4583-9291-F04C8053E30A}"/>
    <hyperlink ref="A393" r:id="rId168" xr:uid="{755D7631-7243-4DC1-930C-5AB25D060550}"/>
    <hyperlink ref="A394" r:id="rId169" xr:uid="{A82EFCAA-0090-423B-B608-EBFA2A538765}"/>
    <hyperlink ref="A395" r:id="rId170" xr:uid="{19136C53-A5B7-465D-8B56-88F89DCC3543}"/>
    <hyperlink ref="A396" r:id="rId171" xr:uid="{D37AC6F3-1A41-4B31-85AD-81C5986B5B02}"/>
    <hyperlink ref="A397" r:id="rId172" xr:uid="{64DFACEB-CB2A-49FF-BD3A-CDD17AE58A77}"/>
    <hyperlink ref="A398" r:id="rId173" xr:uid="{62355BDB-1C2B-4029-BB12-65AA42E2DD0B}"/>
    <hyperlink ref="A399" r:id="rId174" xr:uid="{7D4800DE-EBE4-4E10-8F90-01285FB25D3F}"/>
    <hyperlink ref="A400" r:id="rId175" xr:uid="{5185FFA5-B34D-4720-9042-0C613E88845B}"/>
    <hyperlink ref="A401" r:id="rId176" xr:uid="{995E2B4C-76B7-4986-BEC4-8BAC7D0B1855}"/>
    <hyperlink ref="A402" r:id="rId177" xr:uid="{32F6D401-7878-47A6-888E-DBB8B79815CA}"/>
    <hyperlink ref="A403" r:id="rId178" xr:uid="{8826F985-EB32-4FE4-96B9-A1D6D0445EF3}"/>
    <hyperlink ref="A404" r:id="rId179" xr:uid="{C75C31AC-CB44-4433-8821-DE8B827CFA23}"/>
    <hyperlink ref="A405" r:id="rId180" xr:uid="{74A560D5-39C8-4025-8C79-4246723C8F8D}"/>
    <hyperlink ref="A406" r:id="rId181" xr:uid="{5692FBB6-3D5A-4BDE-BEBD-5CBA9AE19AD3}"/>
    <hyperlink ref="A407" r:id="rId182" xr:uid="{E48F8506-8846-4D87-A480-C8BBC30CC0ED}"/>
    <hyperlink ref="A408" r:id="rId183" xr:uid="{EBDE1C76-C9CC-4BA6-89A2-4262EF2CCAAF}"/>
    <hyperlink ref="A410" r:id="rId184" xr:uid="{A1222F54-6AA9-4C4C-89E6-C0B10B25D79A}"/>
    <hyperlink ref="A411" r:id="rId185" xr:uid="{2E3534C6-DE77-40AE-877A-7E8305E5ADDC}"/>
    <hyperlink ref="A412" r:id="rId186" xr:uid="{2D114AB3-6CD9-48B4-AE0C-71EF009B25FA}"/>
    <hyperlink ref="A413" r:id="rId187" xr:uid="{13ED9622-DD57-4054-A4F3-006D740F99F4}"/>
    <hyperlink ref="A414" r:id="rId188" xr:uid="{129BC847-D6DE-42DF-BF6D-335F0CFD3235}"/>
    <hyperlink ref="A415" r:id="rId189" xr:uid="{515F0AE8-E00A-4E7F-BFE6-12B89A71DAF0}"/>
    <hyperlink ref="A416" r:id="rId190" xr:uid="{32B471E2-406F-4C7A-99B1-2D77D702DA81}"/>
    <hyperlink ref="A417" r:id="rId191" xr:uid="{A83DEE41-AB52-4617-AE52-58CEDBAB7E1F}"/>
    <hyperlink ref="A418" r:id="rId192" xr:uid="{7682AE22-D99E-4AC9-83AC-FE5D179B058B}"/>
    <hyperlink ref="A419" r:id="rId193" xr:uid="{2EED0222-C24E-41CB-BCF7-0E761C4E99B8}"/>
    <hyperlink ref="A420" r:id="rId194" xr:uid="{9CAB605A-FD55-4B10-9138-764797F8BCBB}"/>
    <hyperlink ref="A421" r:id="rId195" xr:uid="{CE9F56BB-C669-43F8-AE5C-46791BC1EB7A}"/>
    <hyperlink ref="A422" r:id="rId196" xr:uid="{CABE3647-F8E3-46DA-B8D8-00BCFABFABF1}"/>
    <hyperlink ref="A423" r:id="rId197" xr:uid="{54CA43AC-E9E0-4E66-9D90-A1ED2E266EAF}"/>
    <hyperlink ref="A424" r:id="rId198" xr:uid="{198106AE-5596-4547-A7BD-0A144C48DF7D}"/>
    <hyperlink ref="A425" r:id="rId199" xr:uid="{511C17F1-6FD9-4587-A3BE-7F1D7E8FDCC9}"/>
    <hyperlink ref="A426" r:id="rId200" xr:uid="{7F1E5CBC-2139-4E17-98D9-6311A40B3397}"/>
    <hyperlink ref="A427" r:id="rId201" xr:uid="{DBBBFA3C-6876-4BEB-992D-2A0484E055B4}"/>
    <hyperlink ref="A428" r:id="rId202" xr:uid="{50985898-E6FC-4656-A9AE-52745F56FE3A}"/>
    <hyperlink ref="A429" r:id="rId203" xr:uid="{13B72121-5713-4959-9E0B-B027985A4C63}"/>
    <hyperlink ref="A430" r:id="rId204" xr:uid="{59873F3C-2CA8-40D8-9796-1D7E33D5E964}"/>
    <hyperlink ref="A431" r:id="rId205" xr:uid="{9CB1BFBA-C223-47C1-A4C6-DD26719E869D}"/>
    <hyperlink ref="A435" r:id="rId206" xr:uid="{0345B232-B71C-4993-B7EB-2D96DCDE6048}"/>
    <hyperlink ref="A436" r:id="rId207" xr:uid="{E7327200-1B4B-4619-9A80-A78524F9882F}"/>
    <hyperlink ref="A437" r:id="rId208" xr:uid="{967AE3B6-F380-4A32-98D3-9063EF60A64B}"/>
    <hyperlink ref="A439" r:id="rId209" xr:uid="{E16A4F62-C702-4BD4-A134-1BDC89FCC595}"/>
    <hyperlink ref="A440" r:id="rId210" xr:uid="{8D0A0BF6-1D5D-46D4-BD22-9E4EF382DBE6}"/>
    <hyperlink ref="A441" r:id="rId211" xr:uid="{C0C7550D-0961-4985-BDB8-38B25C8E59D1}"/>
    <hyperlink ref="A442" r:id="rId212" xr:uid="{B25513DA-17CF-4AD5-80F7-05837C4FAB3F}"/>
    <hyperlink ref="A443" r:id="rId213" xr:uid="{0195CA9F-5F59-4E75-87E7-6268EFD71DD2}"/>
    <hyperlink ref="A444" r:id="rId214" xr:uid="{AEEFC39F-E637-4674-9423-9226ECFC34B4}"/>
    <hyperlink ref="A445" r:id="rId215" xr:uid="{CE850A06-1D95-4F1A-93FA-22824B579D4A}"/>
    <hyperlink ref="A446" r:id="rId216" xr:uid="{D435F31D-7608-4348-B79F-DD64B0226B59}"/>
    <hyperlink ref="A447" r:id="rId217" xr:uid="{514385C2-40AF-4322-86BB-ECDF6E3F6838}"/>
    <hyperlink ref="A448" r:id="rId218" xr:uid="{398A5AF7-F6A5-4761-A2D1-98398B983D41}"/>
    <hyperlink ref="A449" r:id="rId219" xr:uid="{198D6E1A-9FC5-4FDC-B2C1-CA2E916E2E48}"/>
    <hyperlink ref="A450" r:id="rId220" xr:uid="{57568375-EC93-4866-AAFF-27D68BCF89AA}"/>
    <hyperlink ref="A451" r:id="rId221" xr:uid="{CAA276A7-C160-47CE-BA03-1EC44276C7EE}"/>
    <hyperlink ref="A452" r:id="rId222" xr:uid="{7DF25BF3-6427-46FB-8CA2-4ECCEB49F1B5}"/>
    <hyperlink ref="A453" r:id="rId223" xr:uid="{F7C29A10-F17E-441D-8AE6-51905C293BA4}"/>
    <hyperlink ref="A454" r:id="rId224" xr:uid="{4459EC38-3849-455E-BC22-2AD013242938}"/>
    <hyperlink ref="A457" r:id="rId225" xr:uid="{712C4EEC-D352-450E-ACBE-4509002665D0}"/>
    <hyperlink ref="A461" r:id="rId226" xr:uid="{4282ACE0-43A7-481D-949A-F946EFC17977}"/>
    <hyperlink ref="A462" r:id="rId227" xr:uid="{93A39ABE-0E78-4B98-99CC-7D140D52F30C}"/>
    <hyperlink ref="A464" r:id="rId228" xr:uid="{B14A3965-3B20-4462-ADBC-A3DCC20C3EF8}"/>
    <hyperlink ref="A465" r:id="rId229" xr:uid="{6614645A-F6C4-40DD-A6D4-51F4C9709178}"/>
    <hyperlink ref="A466" r:id="rId230" xr:uid="{ABAD5B5A-477D-4FE2-898A-233A233B61DD}"/>
    <hyperlink ref="A468" r:id="rId231" xr:uid="{848407A7-AC1B-4465-9048-5B886FC39B33}"/>
    <hyperlink ref="A469" r:id="rId232" xr:uid="{1898F66C-5C01-4F83-B5D9-ACA8875C9AF8}"/>
    <hyperlink ref="A470" r:id="rId233" xr:uid="{C6CCB0C6-8BEA-43EF-8920-2C5C93C1C45E}"/>
    <hyperlink ref="A471" r:id="rId234" xr:uid="{F39C84C8-F7E4-41F5-ADAA-14F67C040046}"/>
    <hyperlink ref="A472" r:id="rId235" xr:uid="{B6AEE7C1-7780-4C14-8A89-914671B650D6}"/>
    <hyperlink ref="A475" r:id="rId236" xr:uid="{09180AA2-A5EA-4858-AB35-68B561FEDD98}"/>
    <hyperlink ref="A477" r:id="rId237" xr:uid="{319CC9AA-14FB-4F31-965D-2C2EDE4006F3}"/>
    <hyperlink ref="A478" r:id="rId238" xr:uid="{E502CD4E-2792-4AB6-B72F-69B546B9C754}"/>
    <hyperlink ref="A479" r:id="rId239" xr:uid="{1346E9D0-7855-4816-B794-DAA7CAE6ABB9}"/>
    <hyperlink ref="A480" r:id="rId240" xr:uid="{BDE23C9C-3E95-4838-BA53-2AF8F1D06371}"/>
    <hyperlink ref="A481" r:id="rId241" xr:uid="{BBE90988-91AB-49A8-BC12-98EB4867973E}"/>
    <hyperlink ref="A482" r:id="rId242" xr:uid="{9AFE72D8-C870-4802-9C73-0CD91043676C}"/>
    <hyperlink ref="A483" r:id="rId243" xr:uid="{690888A6-BF5C-4AA6-871F-C0EAF2709B82}"/>
    <hyperlink ref="A485" r:id="rId244" xr:uid="{4D7C666B-066C-47DE-BE9C-A4CB39A9FE0D}"/>
    <hyperlink ref="A486" r:id="rId245" xr:uid="{BD893730-C210-4789-B997-9578CFF80B2B}"/>
    <hyperlink ref="A487" r:id="rId246" xr:uid="{2CCBCBD6-CA9E-408E-9228-733F05D5853F}"/>
    <hyperlink ref="A488" r:id="rId247" xr:uid="{897B1D89-DCED-4805-9217-A149150AF64C}"/>
    <hyperlink ref="A489" r:id="rId248" xr:uid="{A0117430-D5E1-49B1-9591-A1EF88FAAA9E}"/>
    <hyperlink ref="A490" r:id="rId249" xr:uid="{0BDC6084-6ABD-4910-BFA7-67DC7B88A671}"/>
    <hyperlink ref="A491" r:id="rId250" xr:uid="{620B0D74-CD02-4B9E-B029-9F0B9D5CB89E}"/>
    <hyperlink ref="A492" r:id="rId251" xr:uid="{ADA09FB5-A3D1-4051-B2CE-368A543DACF9}"/>
    <hyperlink ref="A493" r:id="rId252" xr:uid="{B0337CE8-401F-41F6-87D3-36BBB8F6423A}"/>
    <hyperlink ref="A494" r:id="rId253" xr:uid="{390046FC-85AC-451C-95AE-F89A3AF31819}"/>
    <hyperlink ref="A495" r:id="rId254" xr:uid="{15476F8B-E79B-4AB8-A016-DFE7F3E27B0A}"/>
    <hyperlink ref="A496" r:id="rId255" xr:uid="{97FAFA59-B6E4-4A88-8841-D8B381A1A8E7}"/>
    <hyperlink ref="A497" r:id="rId256" xr:uid="{821278C1-93C9-463D-BDA7-D6481DB58B94}"/>
    <hyperlink ref="A498" r:id="rId257" xr:uid="{0EE551AB-2168-42CC-8A63-F49AFB7A219A}"/>
    <hyperlink ref="A500" r:id="rId258" xr:uid="{A1550DA8-4288-4BAE-8E4A-C93CED785840}"/>
    <hyperlink ref="A501" r:id="rId259" xr:uid="{8019CD9F-E7E2-49D7-9C85-A8E385CD0DEF}"/>
    <hyperlink ref="A502" r:id="rId260" xr:uid="{9CF4DD30-DD0A-4AB2-A663-4131630C1CD8}"/>
    <hyperlink ref="A503" r:id="rId261" xr:uid="{4AA1352A-805A-4DEF-AEAC-89508C223AEE}"/>
    <hyperlink ref="A504" r:id="rId262" xr:uid="{1139A488-24D9-499A-8BE1-77879A61100C}"/>
    <hyperlink ref="A505" r:id="rId263" xr:uid="{DA241493-BEFB-4352-AE96-F709606B2180}"/>
    <hyperlink ref="A506" r:id="rId264" xr:uid="{F1509139-FABD-47F1-BA7F-9AEE276AD2CC}"/>
    <hyperlink ref="A507" r:id="rId265" xr:uid="{BD2DB7DC-FBF4-4BC5-8942-BBD45CD7A417}"/>
    <hyperlink ref="A508" r:id="rId266" xr:uid="{19385C45-5620-4D28-8904-6412E7A9911B}"/>
    <hyperlink ref="A511" r:id="rId267" xr:uid="{1E1974EC-5CB4-4578-A369-4CCDB13CAFFE}"/>
    <hyperlink ref="A512" r:id="rId268" xr:uid="{961A7CA4-CE34-4E68-9CE2-462D747BA782}"/>
    <hyperlink ref="A517" r:id="rId269" xr:uid="{FD7F2E0E-E14D-451D-9F57-3F593FAD9CC6}"/>
    <hyperlink ref="A519" r:id="rId270" xr:uid="{68DDD7BC-633E-4564-B72E-9185A1568BF9}"/>
    <hyperlink ref="A520" r:id="rId271" xr:uid="{C61ABDC2-BE09-4ACA-8073-A85531E3BD21}"/>
    <hyperlink ref="A521" r:id="rId272" xr:uid="{2B21FF0D-F656-47D2-9E42-A10BA9A5DBEB}"/>
    <hyperlink ref="A522" r:id="rId273" xr:uid="{1F9FB64E-391D-43F2-A2E1-7F737960F6A2}"/>
    <hyperlink ref="A524" r:id="rId274" xr:uid="{BD813B9E-F74D-4B6E-BD7B-F82EFFB74D50}"/>
    <hyperlink ref="A525" r:id="rId275" xr:uid="{3833C3B2-8225-4A2B-BD71-C9415916E1DC}"/>
    <hyperlink ref="A526" r:id="rId276" xr:uid="{7AC299DB-135A-4E3B-8334-CB2D309EDA1D}"/>
    <hyperlink ref="A527" r:id="rId277" xr:uid="{3C4B0634-F7FC-4619-8B4C-BF5E3020A337}"/>
    <hyperlink ref="A528" r:id="rId278" xr:uid="{6AB096AC-89A3-4FCB-A703-C6D927D128C9}"/>
    <hyperlink ref="A529" r:id="rId279" xr:uid="{CBCE2680-91DF-460C-87ED-6F0DEFBDE308}"/>
    <hyperlink ref="A530" r:id="rId280" xr:uid="{E18360B0-A580-45AA-A7F7-C46DC745EEC4}"/>
    <hyperlink ref="A531" r:id="rId281" xr:uid="{06137F1F-95C4-438D-8F1A-FC430892A2E9}"/>
    <hyperlink ref="A533" r:id="rId282" xr:uid="{EF089EED-F3B3-4E46-AE8A-3A3F74C4E018}"/>
    <hyperlink ref="A534" r:id="rId283" xr:uid="{77D822ED-70F5-4585-8067-532B82592B2D}"/>
    <hyperlink ref="A535" r:id="rId284" xr:uid="{3C127E8E-4229-4D2A-9518-92D4717A1433}"/>
    <hyperlink ref="A536" r:id="rId285" xr:uid="{99D16F4A-00A8-4FAF-80BF-F323357D6E90}"/>
    <hyperlink ref="A537" r:id="rId286" xr:uid="{98868754-27BF-4BBD-B0B5-D2ED014DE669}"/>
    <hyperlink ref="A538" r:id="rId287" xr:uid="{5811E5E4-FFD3-4085-9C55-6E341DE8A8C4}"/>
    <hyperlink ref="A542" r:id="rId288" xr:uid="{D2AEC732-28DF-45B6-ADEF-BEC817BD58F0}"/>
    <hyperlink ref="A543" r:id="rId289" xr:uid="{72117107-65DC-49B5-A6DB-3E3693350361}"/>
    <hyperlink ref="A544" r:id="rId290" xr:uid="{146EC29E-F3FC-44C1-8B95-A1CB0B117606}"/>
    <hyperlink ref="A545" r:id="rId291" xr:uid="{623D524D-9D49-4626-A254-945D936B8673}"/>
    <hyperlink ref="A546" r:id="rId292" xr:uid="{8B124AC1-D70E-4961-9BAD-791C22AE4687}"/>
    <hyperlink ref="A547" r:id="rId293" xr:uid="{44AD1359-3085-4919-9A99-5B4B02F4E87D}"/>
    <hyperlink ref="C18" r:id="rId294" xr:uid="{B24229E2-75BD-4072-991E-F6FC70D4E9A7}"/>
  </hyperlinks>
  <printOptions horizontalCentered="1" gridLines="1"/>
  <pageMargins left="0.7" right="0.7" top="0.75" bottom="0.75" header="0" footer="0"/>
  <pageSetup paperSize="9" fitToHeight="0" pageOrder="overThenDown" orientation="portrait" cellComments="atEnd" r:id="rId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EE40-C316-4C97-8613-FA9B31253B6E}">
  <dimension ref="A1:C127"/>
  <sheetViews>
    <sheetView topLeftCell="A106" zoomScale="85" zoomScaleNormal="85" workbookViewId="0">
      <selection activeCell="B129" sqref="B129"/>
    </sheetView>
  </sheetViews>
  <sheetFormatPr defaultRowHeight="15.6"/>
  <cols>
    <col min="1" max="1" width="17.69921875" customWidth="1"/>
    <col min="2" max="2" width="61.796875" customWidth="1"/>
    <col min="3" max="3" width="83.8984375" customWidth="1"/>
    <col min="4" max="4" width="43.796875" customWidth="1"/>
  </cols>
  <sheetData>
    <row r="1" spans="1:3">
      <c r="A1" t="s">
        <v>623</v>
      </c>
      <c r="B1" t="s">
        <v>597</v>
      </c>
    </row>
    <row r="3" spans="1:3">
      <c r="B3" s="45" t="s">
        <v>624</v>
      </c>
      <c r="C3" s="45" t="s">
        <v>625</v>
      </c>
    </row>
    <row r="6" spans="1:3">
      <c r="B6" t="s">
        <v>626</v>
      </c>
    </row>
    <row r="51" spans="2:2">
      <c r="B51" t="s">
        <v>627</v>
      </c>
    </row>
    <row r="89" spans="2:2">
      <c r="B89" t="s">
        <v>628</v>
      </c>
    </row>
    <row r="127" spans="2:2">
      <c r="B127" t="s">
        <v>629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A3A55-2FBE-4B73-A4BD-55DB3672D9B1}">
  <dimension ref="A2:D237"/>
  <sheetViews>
    <sheetView topLeftCell="A76" zoomScale="85" zoomScaleNormal="85" workbookViewId="0">
      <selection activeCell="B221" sqref="B221"/>
    </sheetView>
  </sheetViews>
  <sheetFormatPr defaultRowHeight="14.4"/>
  <cols>
    <col min="1" max="1" width="12.8984375" style="46" customWidth="1"/>
    <col min="2" max="2" width="104" style="46" customWidth="1"/>
    <col min="3" max="3" width="72.5" style="46" customWidth="1"/>
    <col min="4" max="4" width="30" style="46" customWidth="1"/>
    <col min="5" max="16384" width="8.796875" style="46"/>
  </cols>
  <sheetData>
    <row r="2" spans="2:4" ht="18">
      <c r="B2" s="46" t="s">
        <v>783</v>
      </c>
      <c r="C2" s="74" t="s">
        <v>488</v>
      </c>
      <c r="D2" s="74" t="s">
        <v>782</v>
      </c>
    </row>
    <row r="3" spans="2:4">
      <c r="B3" s="47" t="s">
        <v>781</v>
      </c>
    </row>
    <row r="4" spans="2:4">
      <c r="B4" s="47" t="s">
        <v>780</v>
      </c>
    </row>
    <row r="5" spans="2:4" ht="15.6">
      <c r="B5" s="47" t="s">
        <v>779</v>
      </c>
      <c r="C5" s="73" t="s">
        <v>778</v>
      </c>
    </row>
    <row r="6" spans="2:4">
      <c r="B6" s="47" t="s">
        <v>777</v>
      </c>
    </row>
    <row r="7" spans="2:4">
      <c r="B7" s="47" t="s">
        <v>776</v>
      </c>
      <c r="C7" s="72" t="s">
        <v>775</v>
      </c>
    </row>
    <row r="8" spans="2:4">
      <c r="B8" s="47" t="s">
        <v>774</v>
      </c>
    </row>
    <row r="9" spans="2:4">
      <c r="B9" s="50" t="s">
        <v>773</v>
      </c>
    </row>
    <row r="11" spans="2:4" ht="21">
      <c r="B11" s="46" t="s">
        <v>772</v>
      </c>
    </row>
    <row r="12" spans="2:4">
      <c r="B12" s="47" t="s">
        <v>771</v>
      </c>
    </row>
    <row r="13" spans="2:4">
      <c r="B13" s="49" t="s">
        <v>770</v>
      </c>
    </row>
    <row r="14" spans="2:4">
      <c r="B14" s="50" t="s">
        <v>769</v>
      </c>
    </row>
    <row r="15" spans="2:4">
      <c r="B15" s="50" t="s">
        <v>768</v>
      </c>
    </row>
    <row r="16" spans="2:4">
      <c r="B16" s="58" t="s">
        <v>767</v>
      </c>
    </row>
    <row r="17" spans="2:3">
      <c r="B17" s="50" t="s">
        <v>766</v>
      </c>
    </row>
    <row r="18" spans="2:3">
      <c r="B18" s="50" t="s">
        <v>765</v>
      </c>
    </row>
    <row r="19" spans="2:3">
      <c r="B19" s="50" t="s">
        <v>764</v>
      </c>
    </row>
    <row r="20" spans="2:3">
      <c r="B20" s="71" t="s">
        <v>763</v>
      </c>
    </row>
    <row r="21" spans="2:3">
      <c r="B21" s="49" t="s">
        <v>762</v>
      </c>
    </row>
    <row r="22" spans="2:3">
      <c r="B22" s="58" t="s">
        <v>761</v>
      </c>
    </row>
    <row r="23" spans="2:3">
      <c r="B23" s="50" t="s">
        <v>760</v>
      </c>
    </row>
    <row r="24" spans="2:3">
      <c r="B24" s="58" t="s">
        <v>759</v>
      </c>
    </row>
    <row r="25" spans="2:3">
      <c r="B25" s="49" t="s">
        <v>758</v>
      </c>
    </row>
    <row r="26" spans="2:3">
      <c r="B26" s="58" t="s">
        <v>757</v>
      </c>
    </row>
    <row r="27" spans="2:3">
      <c r="B27" s="50" t="s">
        <v>756</v>
      </c>
    </row>
    <row r="28" spans="2:3">
      <c r="B28" s="69" t="s">
        <v>755</v>
      </c>
    </row>
    <row r="29" spans="2:3">
      <c r="B29" s="69" t="s">
        <v>754</v>
      </c>
    </row>
    <row r="30" spans="2:3">
      <c r="B30" s="50" t="s">
        <v>753</v>
      </c>
    </row>
    <row r="31" spans="2:3" ht="57.6">
      <c r="B31" s="62" t="s">
        <v>752</v>
      </c>
      <c r="C31" s="57" t="s">
        <v>751</v>
      </c>
    </row>
    <row r="40" spans="2:3" ht="23.4">
      <c r="B40" s="46" t="s">
        <v>750</v>
      </c>
    </row>
    <row r="42" spans="2:3">
      <c r="B42" s="50" t="s">
        <v>749</v>
      </c>
    </row>
    <row r="43" spans="2:3">
      <c r="B43" s="50" t="s">
        <v>748</v>
      </c>
      <c r="C43" s="70" t="s">
        <v>747</v>
      </c>
    </row>
    <row r="44" spans="2:3">
      <c r="B44" s="50" t="s">
        <v>746</v>
      </c>
    </row>
    <row r="45" spans="2:3">
      <c r="B45" s="58" t="s">
        <v>745</v>
      </c>
      <c r="C45" s="69" t="s">
        <v>744</v>
      </c>
    </row>
    <row r="46" spans="2:3">
      <c r="B46" s="50" t="s">
        <v>743</v>
      </c>
    </row>
    <row r="47" spans="2:3">
      <c r="B47" s="58" t="s">
        <v>742</v>
      </c>
    </row>
    <row r="48" spans="2:3">
      <c r="B48" s="69" t="s">
        <v>741</v>
      </c>
    </row>
    <row r="49" spans="2:3">
      <c r="B49" s="69" t="s">
        <v>740</v>
      </c>
    </row>
    <row r="50" spans="2:3">
      <c r="B50" s="50" t="s">
        <v>739</v>
      </c>
    </row>
    <row r="51" spans="2:3">
      <c r="B51" s="50" t="s">
        <v>738</v>
      </c>
    </row>
    <row r="52" spans="2:3">
      <c r="B52" s="50" t="s">
        <v>737</v>
      </c>
    </row>
    <row r="53" spans="2:3">
      <c r="B53" s="50" t="s">
        <v>736</v>
      </c>
    </row>
    <row r="54" spans="2:3">
      <c r="B54" s="50" t="s">
        <v>489</v>
      </c>
    </row>
    <row r="55" spans="2:3">
      <c r="B55" s="50" t="s">
        <v>735</v>
      </c>
    </row>
    <row r="56" spans="2:3">
      <c r="B56" s="50" t="s">
        <v>734</v>
      </c>
      <c r="C56" s="46" t="s">
        <v>733</v>
      </c>
    </row>
    <row r="57" spans="2:3">
      <c r="B57" s="69" t="s">
        <v>732</v>
      </c>
    </row>
    <row r="58" spans="2:3">
      <c r="B58" s="69" t="s">
        <v>731</v>
      </c>
    </row>
    <row r="59" spans="2:3">
      <c r="B59" s="69" t="s">
        <v>730</v>
      </c>
      <c r="C59" s="46" t="s">
        <v>729</v>
      </c>
    </row>
    <row r="60" spans="2:3">
      <c r="B60" s="49" t="s">
        <v>728</v>
      </c>
      <c r="C60" s="68" t="s">
        <v>727</v>
      </c>
    </row>
    <row r="65" spans="2:2">
      <c r="B65" s="50" t="s">
        <v>726</v>
      </c>
    </row>
    <row r="66" spans="2:2">
      <c r="B66" s="50" t="s">
        <v>725</v>
      </c>
    </row>
    <row r="67" spans="2:2">
      <c r="B67" s="50" t="s">
        <v>724</v>
      </c>
    </row>
    <row r="68" spans="2:2">
      <c r="B68" s="50" t="s">
        <v>723</v>
      </c>
    </row>
    <row r="75" spans="2:2">
      <c r="B75" s="67" t="s">
        <v>722</v>
      </c>
    </row>
    <row r="76" spans="2:2">
      <c r="B76" s="58" t="s">
        <v>721</v>
      </c>
    </row>
    <row r="77" spans="2:2">
      <c r="B77" s="48"/>
    </row>
    <row r="78" spans="2:2">
      <c r="B78" s="48"/>
    </row>
    <row r="79" spans="2:2">
      <c r="B79" s="48"/>
    </row>
    <row r="80" spans="2:2">
      <c r="B80" s="48"/>
    </row>
    <row r="81" spans="1:2">
      <c r="B81" s="48"/>
    </row>
    <row r="82" spans="1:2">
      <c r="B82" s="48"/>
    </row>
    <row r="83" spans="1:2">
      <c r="B83" s="48"/>
    </row>
    <row r="84" spans="1:2">
      <c r="B84" s="48"/>
    </row>
    <row r="86" spans="1:2" ht="15.6">
      <c r="A86" s="46" t="s">
        <v>720</v>
      </c>
    </row>
    <row r="87" spans="1:2">
      <c r="B87" s="50" t="s">
        <v>719</v>
      </c>
    </row>
    <row r="88" spans="1:2">
      <c r="B88" s="50" t="s">
        <v>718</v>
      </c>
    </row>
    <row r="93" spans="1:2" ht="15.6">
      <c r="B93" s="67" t="s">
        <v>717</v>
      </c>
    </row>
    <row r="94" spans="1:2" ht="15.6">
      <c r="B94" s="62" t="s">
        <v>675</v>
      </c>
    </row>
    <row r="103" spans="1:2" ht="23.4">
      <c r="B103" s="46" t="s">
        <v>716</v>
      </c>
    </row>
    <row r="105" spans="1:2" ht="15.6">
      <c r="A105" s="64" t="s">
        <v>715</v>
      </c>
    </row>
    <row r="106" spans="1:2">
      <c r="B106" s="50" t="s">
        <v>714</v>
      </c>
    </row>
    <row r="107" spans="1:2">
      <c r="B107" s="50" t="s">
        <v>713</v>
      </c>
    </row>
    <row r="108" spans="1:2">
      <c r="B108" s="59" t="s">
        <v>712</v>
      </c>
    </row>
    <row r="109" spans="1:2">
      <c r="B109" s="66"/>
    </row>
    <row r="110" spans="1:2">
      <c r="B110" s="66"/>
    </row>
    <row r="111" spans="1:2">
      <c r="B111" s="66"/>
    </row>
    <row r="112" spans="1:2" ht="15.6">
      <c r="A112" s="64" t="s">
        <v>711</v>
      </c>
    </row>
    <row r="113" spans="1:4" ht="15.6">
      <c r="A113" s="64"/>
      <c r="B113" s="65" t="s">
        <v>710</v>
      </c>
      <c r="C113" s="46" t="s">
        <v>709</v>
      </c>
    </row>
    <row r="114" spans="1:4">
      <c r="B114" s="58" t="s">
        <v>708</v>
      </c>
    </row>
    <row r="115" spans="1:4">
      <c r="B115" s="50" t="s">
        <v>707</v>
      </c>
    </row>
    <row r="116" spans="1:4">
      <c r="B116" s="50" t="s">
        <v>706</v>
      </c>
    </row>
    <row r="117" spans="1:4">
      <c r="B117" s="58" t="s">
        <v>705</v>
      </c>
    </row>
    <row r="118" spans="1:4" ht="15.6">
      <c r="B118" s="65" t="s">
        <v>704</v>
      </c>
    </row>
    <row r="119" spans="1:4">
      <c r="B119" s="50" t="s">
        <v>703</v>
      </c>
      <c r="C119" s="46" t="s">
        <v>702</v>
      </c>
    </row>
    <row r="120" spans="1:4">
      <c r="B120" s="58" t="s">
        <v>661</v>
      </c>
    </row>
    <row r="121" spans="1:4" ht="28.8">
      <c r="A121" s="74" t="s">
        <v>474</v>
      </c>
      <c r="B121" s="75" t="s">
        <v>784</v>
      </c>
      <c r="C121" s="76" t="s">
        <v>785</v>
      </c>
    </row>
    <row r="122" spans="1:4">
      <c r="B122" s="48"/>
    </row>
    <row r="123" spans="1:4" ht="28.8">
      <c r="B123" s="65" t="s">
        <v>701</v>
      </c>
      <c r="C123" s="57" t="s">
        <v>700</v>
      </c>
    </row>
    <row r="124" spans="1:4">
      <c r="B124" s="50" t="s">
        <v>699</v>
      </c>
      <c r="C124" s="46" t="s">
        <v>694</v>
      </c>
    </row>
    <row r="125" spans="1:4">
      <c r="B125" s="50" t="s">
        <v>698</v>
      </c>
      <c r="C125" s="46" t="s">
        <v>694</v>
      </c>
    </row>
    <row r="126" spans="1:4">
      <c r="B126" s="50" t="s">
        <v>697</v>
      </c>
      <c r="C126" s="46" t="s">
        <v>696</v>
      </c>
      <c r="D126" s="46" t="s">
        <v>515</v>
      </c>
    </row>
    <row r="127" spans="1:4">
      <c r="B127" s="50" t="s">
        <v>695</v>
      </c>
      <c r="C127" s="46" t="s">
        <v>694</v>
      </c>
    </row>
    <row r="128" spans="1:4" ht="28.8">
      <c r="B128" s="58" t="s">
        <v>693</v>
      </c>
      <c r="C128" s="57" t="s">
        <v>692</v>
      </c>
      <c r="D128" s="46" t="s">
        <v>515</v>
      </c>
    </row>
    <row r="129" spans="1:3">
      <c r="B129" s="48"/>
    </row>
    <row r="130" spans="1:3">
      <c r="B130" s="48"/>
    </row>
    <row r="131" spans="1:3">
      <c r="B131" s="48"/>
    </row>
    <row r="132" spans="1:3">
      <c r="B132" s="48"/>
    </row>
    <row r="133" spans="1:3">
      <c r="B133" s="48"/>
    </row>
    <row r="134" spans="1:3" ht="15.6">
      <c r="A134" s="64" t="s">
        <v>691</v>
      </c>
    </row>
    <row r="135" spans="1:3">
      <c r="B135" s="50" t="s">
        <v>690</v>
      </c>
    </row>
    <row r="136" spans="1:3">
      <c r="B136" s="50" t="s">
        <v>689</v>
      </c>
    </row>
    <row r="137" spans="1:3">
      <c r="B137" s="50" t="s">
        <v>688</v>
      </c>
    </row>
    <row r="138" spans="1:3">
      <c r="B138" s="50" t="s">
        <v>687</v>
      </c>
    </row>
    <row r="139" spans="1:3">
      <c r="B139" s="50" t="s">
        <v>686</v>
      </c>
    </row>
    <row r="140" spans="1:3">
      <c r="B140" s="58" t="s">
        <v>685</v>
      </c>
    </row>
    <row r="141" spans="1:3">
      <c r="B141" s="50" t="s">
        <v>684</v>
      </c>
      <c r="C141" s="46" t="s">
        <v>683</v>
      </c>
    </row>
    <row r="142" spans="1:3" ht="33.6">
      <c r="B142" s="50" t="s">
        <v>682</v>
      </c>
      <c r="C142" s="63" t="s">
        <v>681</v>
      </c>
    </row>
    <row r="143" spans="1:3">
      <c r="B143" s="49" t="s">
        <v>680</v>
      </c>
      <c r="C143" s="46" t="s">
        <v>679</v>
      </c>
    </row>
    <row r="144" spans="1:3">
      <c r="B144" s="50" t="s">
        <v>678</v>
      </c>
    </row>
    <row r="145" spans="1:2">
      <c r="B145" s="50" t="s">
        <v>677</v>
      </c>
    </row>
    <row r="146" spans="1:2">
      <c r="B146" s="58" t="s">
        <v>676</v>
      </c>
    </row>
    <row r="147" spans="1:2" ht="15.6">
      <c r="B147" s="62" t="s">
        <v>675</v>
      </c>
    </row>
    <row r="148" spans="1:2" ht="15.6">
      <c r="B148" s="62" t="s">
        <v>674</v>
      </c>
    </row>
    <row r="149" spans="1:2">
      <c r="B149" s="48" t="s">
        <v>673</v>
      </c>
    </row>
    <row r="150" spans="1:2">
      <c r="B150" s="48" t="s">
        <v>672</v>
      </c>
    </row>
    <row r="151" spans="1:2">
      <c r="B151" s="48" t="s">
        <v>671</v>
      </c>
    </row>
    <row r="152" spans="1:2">
      <c r="B152" s="48" t="s">
        <v>670</v>
      </c>
    </row>
    <row r="153" spans="1:2">
      <c r="B153" s="58" t="s">
        <v>669</v>
      </c>
    </row>
    <row r="154" spans="1:2">
      <c r="A154" s="61"/>
      <c r="B154" s="58" t="s">
        <v>668</v>
      </c>
    </row>
    <row r="155" spans="1:2">
      <c r="B155" s="60"/>
    </row>
    <row r="156" spans="1:2">
      <c r="B156" s="48"/>
    </row>
    <row r="157" spans="1:2" ht="15.6">
      <c r="A157" s="46" t="s">
        <v>667</v>
      </c>
    </row>
    <row r="158" spans="1:2">
      <c r="B158" s="59" t="s">
        <v>666</v>
      </c>
    </row>
    <row r="159" spans="1:2">
      <c r="B159" s="48"/>
    </row>
    <row r="160" spans="1:2">
      <c r="B160" s="50" t="s">
        <v>665</v>
      </c>
    </row>
    <row r="161" spans="1:2">
      <c r="B161" s="50" t="s">
        <v>664</v>
      </c>
    </row>
    <row r="162" spans="1:2">
      <c r="B162" s="50" t="s">
        <v>663</v>
      </c>
    </row>
    <row r="163" spans="1:2">
      <c r="B163" s="58" t="s">
        <v>662</v>
      </c>
    </row>
    <row r="164" spans="1:2">
      <c r="B164" s="58" t="s">
        <v>661</v>
      </c>
    </row>
    <row r="168" spans="1:2">
      <c r="A168" s="46" t="s">
        <v>660</v>
      </c>
    </row>
    <row r="169" spans="1:2">
      <c r="B169" s="50" t="s">
        <v>659</v>
      </c>
    </row>
    <row r="170" spans="1:2">
      <c r="B170" s="58" t="s">
        <v>658</v>
      </c>
    </row>
    <row r="171" spans="1:2">
      <c r="B171" s="49" t="s">
        <v>657</v>
      </c>
    </row>
    <row r="172" spans="1:2">
      <c r="B172" s="49" t="s">
        <v>656</v>
      </c>
    </row>
    <row r="176" spans="1:2">
      <c r="B176" s="46" t="s">
        <v>655</v>
      </c>
    </row>
    <row r="177" spans="2:3">
      <c r="B177" s="50" t="s">
        <v>654</v>
      </c>
      <c r="C177" s="57" t="s">
        <v>653</v>
      </c>
    </row>
    <row r="178" spans="2:3">
      <c r="B178" s="50" t="s">
        <v>652</v>
      </c>
    </row>
    <row r="179" spans="2:3" ht="15.6">
      <c r="B179" s="56" t="s">
        <v>651</v>
      </c>
    </row>
    <row r="180" spans="2:3" ht="15.6">
      <c r="B180" s="55" t="s">
        <v>650</v>
      </c>
      <c r="C180" s="54" t="s">
        <v>649</v>
      </c>
    </row>
    <row r="181" spans="2:3">
      <c r="B181" s="50" t="s">
        <v>648</v>
      </c>
      <c r="C181" s="46" t="s">
        <v>647</v>
      </c>
    </row>
    <row r="183" spans="2:3" ht="15.6">
      <c r="B183" s="53" t="s">
        <v>646</v>
      </c>
    </row>
    <row r="184" spans="2:3" ht="15.6">
      <c r="B184" s="52" t="s">
        <v>645</v>
      </c>
    </row>
    <row r="185" spans="2:3">
      <c r="B185" s="50" t="s">
        <v>644</v>
      </c>
    </row>
    <row r="186" spans="2:3">
      <c r="B186" s="50" t="s">
        <v>643</v>
      </c>
    </row>
    <row r="187" spans="2:3">
      <c r="B187" s="48"/>
    </row>
    <row r="188" spans="2:3">
      <c r="B188" s="48"/>
    </row>
    <row r="189" spans="2:3">
      <c r="B189" s="48"/>
    </row>
    <row r="190" spans="2:3">
      <c r="B190" s="48"/>
    </row>
    <row r="191" spans="2:3">
      <c r="B191" s="48"/>
    </row>
    <row r="193" spans="1:3" ht="15.6">
      <c r="B193" s="46" t="s">
        <v>642</v>
      </c>
    </row>
    <row r="194" spans="1:3">
      <c r="B194" s="51" t="s">
        <v>641</v>
      </c>
    </row>
    <row r="198" spans="1:3" ht="15.6">
      <c r="B198" s="46" t="s">
        <v>640</v>
      </c>
    </row>
    <row r="199" spans="1:3">
      <c r="B199" s="50" t="s">
        <v>639</v>
      </c>
    </row>
    <row r="200" spans="1:3">
      <c r="B200" s="49" t="s">
        <v>638</v>
      </c>
    </row>
    <row r="201" spans="1:3">
      <c r="B201" s="50" t="s">
        <v>637</v>
      </c>
    </row>
    <row r="202" spans="1:3">
      <c r="B202" s="50" t="s">
        <v>636</v>
      </c>
    </row>
    <row r="203" spans="1:3">
      <c r="B203" s="50" t="s">
        <v>635</v>
      </c>
    </row>
    <row r="204" spans="1:3">
      <c r="B204" s="49" t="s">
        <v>634</v>
      </c>
    </row>
    <row r="205" spans="1:3" ht="15.6">
      <c r="B205" s="26" t="s">
        <v>1457</v>
      </c>
      <c r="C205" s="161" t="s">
        <v>1458</v>
      </c>
    </row>
    <row r="207" spans="1:3" ht="15.6">
      <c r="A207" s="46" t="s">
        <v>633</v>
      </c>
    </row>
    <row r="208" spans="1:3" ht="15.6">
      <c r="A208" s="46" t="s">
        <v>632</v>
      </c>
      <c r="B208" s="47" t="s">
        <v>631</v>
      </c>
    </row>
    <row r="237" spans="2:2">
      <c r="B237" s="46" t="s">
        <v>630</v>
      </c>
    </row>
  </sheetData>
  <hyperlinks>
    <hyperlink ref="B5" r:id="rId1" display="Count Number of Binary Strings Without Consecutive 1's (Introductory  Problem) (1d-dp)" xr:uid="{21405DA1-0980-4AF9-996E-BB7443D660B8}"/>
    <hyperlink ref="B6" r:id="rId2" xr:uid="{04021F59-6651-459D-BF02-AC9D3D56950E}"/>
    <hyperlink ref="B3" r:id="rId3" xr:uid="{31C754B0-950F-4473-91C0-D10B097A7BA4}"/>
    <hyperlink ref="B4" r:id="rId4" xr:uid="{46E4B37D-8622-496D-AEEA-2A50E93107D3}"/>
    <hyperlink ref="B8" r:id="rId5" xr:uid="{31AB64FC-95CB-4A9F-9E07-1370654DFAF3}"/>
    <hyperlink ref="B12" r:id="rId6" display="Ladder- l " xr:uid="{0F30D07C-9952-4438-8E3E-DB3CC60A0DF8}"/>
    <hyperlink ref="B13" r:id="rId7" xr:uid="{C7FB8B5D-1C0F-4F15-B247-960747F0A04C}"/>
    <hyperlink ref="B14" r:id="rId8" xr:uid="{4FF5105D-0242-4531-8B1C-0B15E1BB6CC8}"/>
    <hyperlink ref="B15" r:id="rId9" xr:uid="{8E171275-7040-40A3-A175-F55778D2EBC4}"/>
    <hyperlink ref="B16" r:id="rId10" xr:uid="{BF8C8016-BCDD-4ABC-8660-356DDB01D2C6}"/>
    <hyperlink ref="B17" r:id="rId11" display="Boredom (CodeForces)" xr:uid="{575D4AA5-E59D-4247-A624-C1F513ADFBB4}"/>
    <hyperlink ref="B18" r:id="rId12" xr:uid="{F57825AB-0FCF-41D7-A7A1-09AFB8BE8AE2}"/>
    <hyperlink ref="B19" r:id="rId13" xr:uid="{6E864DA9-9D72-44D4-B762-87E2988B7143}"/>
    <hyperlink ref="B7" r:id="rId14" xr:uid="{FBB5E0E6-C8FF-4B5B-AF0D-3AC8EACFB679}"/>
    <hyperlink ref="B20" r:id="rId15" xr:uid="{EBDA441A-C86A-4D3C-B2F8-BFF4CF8283DA}"/>
    <hyperlink ref="B21" r:id="rId16" xr:uid="{27543605-0A2C-491E-A488-3349AB8AA5E3}"/>
    <hyperlink ref="B22" r:id="rId17" xr:uid="{47E57FA7-863E-4226-8806-995514EB548E}"/>
    <hyperlink ref="B23" r:id="rId18" xr:uid="{A1BC1B93-9557-4764-A610-5EC2DB805451}"/>
    <hyperlink ref="B24" r:id="rId19" xr:uid="{CC77D94A-C359-455B-AFFD-2697EEFF58D5}"/>
    <hyperlink ref="B25" r:id="rId20" xr:uid="{080883B1-BE1C-4771-A125-D6A1E046CF12}"/>
    <hyperlink ref="B26" r:id="rId21" display="Cell Mitiosis" xr:uid="{BBB07E0D-E0BC-457A-96A1-0F0CC465E32F}"/>
    <hyperlink ref="B27" r:id="rId22" xr:uid="{C95B3C69-22B4-4AA8-A0AE-6E32A0E46013}"/>
    <hyperlink ref="B28" r:id="rId23" xr:uid="{48B5E6CF-A118-43EC-BF40-3B8C33D727EF}"/>
    <hyperlink ref="B29" r:id="rId24" xr:uid="{09E1C653-EEAD-4E66-8610-E6D1346AA72D}"/>
    <hyperlink ref="B42" r:id="rId25" xr:uid="{0EFFBCED-0654-4CD1-94CA-FCB58EF04442}"/>
    <hyperlink ref="B43" r:id="rId26" xr:uid="{AA117FB0-A9BC-4944-B0AD-0282599A2872}"/>
    <hyperlink ref="B44" r:id="rId27" xr:uid="{1F4C3C21-2B60-4B67-A360-FA87C704C3B2}"/>
    <hyperlink ref="B46" r:id="rId28" xr:uid="{996DB477-428C-4B0E-92E1-2564D20F513D}"/>
    <hyperlink ref="B47" r:id="rId29" xr:uid="{B7855A82-5BC1-440A-A1AB-177CEC747F6D}"/>
    <hyperlink ref="B9" r:id="rId30" xr:uid="{6CAE59FB-475B-495D-A095-C681A643D840}"/>
    <hyperlink ref="B48" r:id="rId31" xr:uid="{FD87B689-6D66-4DB7-AC88-51795B715B3A}"/>
    <hyperlink ref="B49" r:id="rId32" xr:uid="{5A78FB5A-1128-427C-8F7A-5F8F2A7D3D20}"/>
    <hyperlink ref="B106" r:id="rId33" xr:uid="{C6F96874-4570-4C97-8365-627EB5781F4B}"/>
    <hyperlink ref="B107" r:id="rId34" xr:uid="{F03DEB1F-5F7C-469C-B476-E5A0D73A0B5B}"/>
    <hyperlink ref="B108" r:id="rId35" xr:uid="{9F3FA4FC-BF5C-4832-86EB-AFD3567AA4B4}"/>
    <hyperlink ref="B117" r:id="rId36" xr:uid="{9B5E9273-49E3-47D2-BE1F-258FC8A0DED1}"/>
    <hyperlink ref="B45" r:id="rId37" xr:uid="{AA25E5B3-5FFA-4600-928F-91B440BB645C}"/>
    <hyperlink ref="C45" r:id="rId38" xr:uid="{6FC44624-E726-4809-9FD4-36435D09C861}"/>
    <hyperlink ref="B114" r:id="rId39" xr:uid="{8E2E4E46-EC62-46E1-A9F2-6B3D5694CEC5}"/>
    <hyperlink ref="B115" r:id="rId40" xr:uid="{BA7A67FB-7254-46EE-9C18-7882482D8EF4}"/>
    <hyperlink ref="B116" r:id="rId41" xr:uid="{3E38DE8C-59E7-4F3D-A73B-514EEBE80D76}"/>
    <hyperlink ref="B135" r:id="rId42" xr:uid="{4DDBA9D0-83F4-4BCB-A473-1DD7F9FBD49E}"/>
    <hyperlink ref="B137" r:id="rId43" display="Largest Island (DFS)" xr:uid="{3A55D956-3F63-4FAE-AADE-0E0065FD0CD9}"/>
    <hyperlink ref="B139" r:id="rId44" xr:uid="{64C1C5D8-9F50-4EDF-80C1-3F7C1B75F591}"/>
    <hyperlink ref="B140" r:id="rId45" xr:uid="{4DB85DD5-BC4D-43B0-8002-79E57421220A}"/>
    <hyperlink ref="B158" r:id="rId46" xr:uid="{FDF9E29F-B4C4-445F-B716-60B213E668DF}"/>
    <hyperlink ref="B160" r:id="rId47" display="Course Schedule " xr:uid="{2D7B0A0A-3FAC-406D-B4F0-F4F1B69E715F}"/>
    <hyperlink ref="B161" r:id="rId48" xr:uid="{F9B84398-0168-4012-8DE3-C3A160369CF0}"/>
    <hyperlink ref="B163" r:id="rId49" xr:uid="{C08C6421-2A97-4CB4-970D-F1C0BEE7B8F5}"/>
    <hyperlink ref="B162" r:id="rId50" xr:uid="{C7D961DF-8C90-42D2-8FCD-1FBAC4DD9608}"/>
    <hyperlink ref="B164" r:id="rId51" xr:uid="{1574D30F-0F0B-4437-9856-AE2A8062DF36}"/>
    <hyperlink ref="B50" r:id="rId52" xr:uid="{5F2576CE-2262-4FE3-83FF-699F6DBA5BDA}"/>
    <hyperlink ref="B51" r:id="rId53" xr:uid="{7A2751CE-2E0D-4288-9BF2-05917C30D4EA}"/>
    <hyperlink ref="B52" r:id="rId54" xr:uid="{0BF79D69-D540-4569-AE2F-7BC6C276A11D}"/>
    <hyperlink ref="B65" r:id="rId55" xr:uid="{98769755-3C3A-4366-A68B-4DB170B31298}"/>
    <hyperlink ref="B141" r:id="rId56" xr:uid="{2D3663EC-2180-4511-8F50-23F2B1A8827E}"/>
    <hyperlink ref="B30" r:id="rId57" xr:uid="{8E35E5CB-67A6-4F3B-A1C8-4D63CD24CC0C}"/>
    <hyperlink ref="C43" r:id="rId58" xr:uid="{A2A51331-030E-49C5-9DC0-413294AA1B88}"/>
    <hyperlink ref="C7" r:id="rId59" xr:uid="{E1376DC9-6012-427B-A827-E0040701DDBB}"/>
    <hyperlink ref="B142" r:id="rId60" xr:uid="{AD50F55C-7E4D-4BEA-8115-F91A1D93B94F}"/>
    <hyperlink ref="B143" r:id="rId61" display="Word Search-&gt;2(Leetcode 212)" xr:uid="{291884C1-6D5B-4277-BEEA-B1103762BF5A}"/>
    <hyperlink ref="B144" r:id="rId62" display="No of Closed Island (Leetcode 1254)" xr:uid="{180DB04C-C16A-4B30-8FD4-1E2BEDD3CC01}"/>
    <hyperlink ref="B136" r:id="rId63" display="No of Islands(Leetcode 200)" xr:uid="{78BBB5C3-7199-49E3-9F11-0877EB0A83A8}"/>
    <hyperlink ref="B138" r:id="rId64" xr:uid="{E07EA12A-0EB1-46FD-93D7-0890F0569848}"/>
    <hyperlink ref="B145" r:id="rId65" display="Island Perimeter(Leetcode 463)" xr:uid="{0D284BED-85E1-41B5-898D-2512C100EA56}"/>
    <hyperlink ref="B146" r:id="rId66" display="Coloring a boarder(Leetcode 1034)" xr:uid="{B7B34D6F-87A4-40C6-8E16-89E2EB0F7A39}"/>
    <hyperlink ref="B87" r:id="rId67" xr:uid="{7241D49B-C819-46E8-BFA6-26DCB8F953DA}"/>
    <hyperlink ref="B208" r:id="rId68" xr:uid="{111B5DC0-0780-4492-8921-6E3BABB04665}"/>
    <hyperlink ref="B169" r:id="rId69" xr:uid="{30DE0722-DFF8-4555-92D9-550EC381E4D3}"/>
    <hyperlink ref="B170" r:id="rId70" xr:uid="{3C7A9624-2377-4FE4-8015-679FF7D35B2B}"/>
    <hyperlink ref="B53" r:id="rId71" xr:uid="{AE9C8813-DF22-43F8-A17B-7ADD2BE10469}"/>
    <hyperlink ref="B66" r:id="rId72" xr:uid="{AB92C647-3AC3-4AFF-B50E-277A904DEFE3}"/>
    <hyperlink ref="B54" r:id="rId73" xr:uid="{014B3639-AEE7-4391-A1EE-C3E680FC6EE7}"/>
    <hyperlink ref="B67" r:id="rId74" xr:uid="{43DEDCE6-EC0A-4472-B90A-D446E0695F6F}"/>
    <hyperlink ref="B171" r:id="rId75" xr:uid="{51DE5424-05A7-4F70-9879-27769610DB9A}"/>
    <hyperlink ref="B172" r:id="rId76" xr:uid="{628C8BF1-E120-4A51-B518-EE080DFCAABF}"/>
    <hyperlink ref="B68" r:id="rId77" xr:uid="{A7A9C105-CAD1-4E51-B786-C01727DFB69A}"/>
    <hyperlink ref="B55" r:id="rId78" xr:uid="{D9132CC9-FFB6-4B3F-9F31-674F50AF1A0A}"/>
    <hyperlink ref="B118" r:id="rId79" xr:uid="{204839B1-C6E6-4E85-96EF-8DFE3D9C2A5F}"/>
    <hyperlink ref="B177" r:id="rId80" xr:uid="{DF70183E-2F7D-4537-8F5E-370FF69C5934}"/>
    <hyperlink ref="B178" r:id="rId81" xr:uid="{5BEAF018-EF35-4503-B887-8B166EFB9DA8}"/>
    <hyperlink ref="B179" r:id="rId82" xr:uid="{7A1A5587-19E6-4FB2-AE40-5E7538F31550}"/>
    <hyperlink ref="B31" r:id="rId83" xr:uid="{F62D2ECD-E027-4FD3-B4C0-5BC500AF28FC}"/>
    <hyperlink ref="B76" r:id="rId84" xr:uid="{C019B7C6-96AB-4285-9795-F6D627152B62}"/>
    <hyperlink ref="B147" r:id="rId85" xr:uid="{6DC38DDF-3240-47E2-B717-788854D94FD8}"/>
    <hyperlink ref="B94" r:id="rId86" xr:uid="{13A2A0FE-9C78-478B-861B-15D54F899790}"/>
    <hyperlink ref="B56" r:id="rId87" xr:uid="{9F175CE6-AAED-4CF5-9322-AEA7E059A65D}"/>
    <hyperlink ref="B113" r:id="rId88" xr:uid="{82A6AE7F-97AC-4BFF-8901-B3B189CE389B}"/>
    <hyperlink ref="C5" r:id="rId89" xr:uid="{575F24C5-B603-4187-85AC-83B59525824E}"/>
    <hyperlink ref="B180" r:id="rId90" xr:uid="{E84AF4D2-D918-41B8-A625-4FF1F76281E1}"/>
    <hyperlink ref="B148" r:id="rId91" xr:uid="{149ECDE8-66ED-43BB-A21A-D8FC293ABCA2}"/>
    <hyperlink ref="B183" r:id="rId92" xr:uid="{7D76F217-703C-4EB7-9D54-99D5DD8EFE47}"/>
    <hyperlink ref="B184" r:id="rId93" xr:uid="{C84A0560-226E-41F8-B6F5-5BB4B434A186}"/>
    <hyperlink ref="B123" r:id="rId94" display="Find if a path if exist in a graph " xr:uid="{A03013E6-BDAF-469A-981E-BF12173AAC69}"/>
    <hyperlink ref="B181" r:id="rId95" xr:uid="{87C85841-40BA-409C-80A1-679867613689}"/>
    <hyperlink ref="B149" r:id="rId96" xr:uid="{4F1B40D7-2D1D-4868-A9DF-954C790DBF90}"/>
    <hyperlink ref="B150" r:id="rId97" xr:uid="{D248F105-260A-4F7E-BE2B-079E4ECE797D}"/>
    <hyperlink ref="B151" r:id="rId98" xr:uid="{42AE6AC4-69D3-48C1-A7EB-1262B37CACA3}"/>
    <hyperlink ref="B152" r:id="rId99" xr:uid="{9311CE2F-B4B5-4DF9-86AA-A9D0E8A391C0}"/>
    <hyperlink ref="B119" r:id="rId100" xr:uid="{06885D21-7123-4F98-885D-8A9BA4707AB8}"/>
    <hyperlink ref="B57" r:id="rId101" xr:uid="{509E3A19-148B-4800-ACE5-A488078F0142}"/>
    <hyperlink ref="B153" r:id="rId102" xr:uid="{A70B000B-A714-4A8A-A4AC-B4A221549D6B}"/>
    <hyperlink ref="B194" r:id="rId103" xr:uid="{371CB12B-B3BB-4766-9417-DEBA1B3E5162}"/>
    <hyperlink ref="B58" r:id="rId104" xr:uid="{0C0E2DD0-D5CE-4573-A503-E8CF0869B071}"/>
    <hyperlink ref="B59" r:id="rId105" display="The Sports Festival (Codeforces) (Range DP)" xr:uid="{A24C3A40-9E3B-4127-B133-BEF04601ED79}"/>
    <hyperlink ref="B185" r:id="rId106" xr:uid="{6FBE531C-40B9-4190-8AE0-D152C616A4F5}"/>
    <hyperlink ref="B186" r:id="rId107" xr:uid="{F1E72642-1652-4832-B952-12B2DB4B2A40}"/>
    <hyperlink ref="B199" r:id="rId108" xr:uid="{BE5B6B5B-25D9-4E5C-9C8A-14E5A3151950}"/>
    <hyperlink ref="B154" r:id="rId109" xr:uid="{162A0962-1BC5-4C32-9B61-F92EE6D4C94D}"/>
    <hyperlink ref="B200" r:id="rId110" xr:uid="{3FC0E213-41DF-4F67-A028-689BC0B2A8E0}"/>
    <hyperlink ref="B60" r:id="rId111" xr:uid="{1C30A50D-E784-4E98-837C-430413CD1513}"/>
    <hyperlink ref="B201" r:id="rId112" xr:uid="{6CA8D731-9B97-47E7-9A45-E8A66C5E51D2}"/>
    <hyperlink ref="B202" r:id="rId113" xr:uid="{6F1496CD-420E-4F8D-B3A6-29C92DBC99A1}"/>
    <hyperlink ref="B203" r:id="rId114" xr:uid="{DF27360E-E450-422A-BD95-A31806CA4188}"/>
    <hyperlink ref="B204" r:id="rId115" xr:uid="{7A8023DA-00E6-4581-B961-73CB5A8A9B44}"/>
    <hyperlink ref="B124" r:id="rId116" xr:uid="{0F636594-48F7-41B7-B08D-5DE0B4B12DCF}"/>
    <hyperlink ref="B125" r:id="rId117" xr:uid="{FF54C3CD-B083-4587-9DC5-A4A95170AC71}"/>
    <hyperlink ref="B126" r:id="rId118" xr:uid="{421E7A0B-2020-4272-8662-5A808640E988}"/>
    <hyperlink ref="B127" r:id="rId119" xr:uid="{06F10334-BB93-42F8-9094-69C3D0084ADA}"/>
    <hyperlink ref="B128" r:id="rId120" xr:uid="{8A53EFA6-3CFA-4053-8465-B38D63415F59}"/>
    <hyperlink ref="B88" r:id="rId121" xr:uid="{C3044BA5-E5E2-419B-B763-CE8FFEC33085}"/>
    <hyperlink ref="B121" r:id="rId122" xr:uid="{ACACE779-3AC9-4FF1-A811-2B855380DB54}"/>
    <hyperlink ref="B205" r:id="rId123" xr:uid="{5D439A88-0C45-45CC-975B-636A9E8BC7C4}"/>
  </hyperlinks>
  <pageMargins left="0.7" right="0.7" top="0.75" bottom="0.75" header="0.3" footer="0.3"/>
  <pageSetup orientation="portrait" r:id="rId1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DSA</vt:lpstr>
      <vt:lpstr>Fraz Sheet</vt:lpstr>
      <vt:lpstr>Siddharth Sheet</vt:lpstr>
      <vt:lpstr>CN</vt:lpstr>
      <vt:lpstr>Dp and 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SWRAJ KANT SHARMA</cp:lastModifiedBy>
  <dcterms:created xsi:type="dcterms:W3CDTF">2020-10-14T11:36:56Z</dcterms:created>
  <dcterms:modified xsi:type="dcterms:W3CDTF">2022-05-22T10:47:36Z</dcterms:modified>
</cp:coreProperties>
</file>